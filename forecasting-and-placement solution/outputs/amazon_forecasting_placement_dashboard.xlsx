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10.xml" ContentType="application/vnd.openxmlformats-officedocument.drawingml.chart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mphey\Documents\Codex\2026-04-22-files-mentioned-by-the-user-merged\forecasting-and-placement solution\outputs\"/>
    </mc:Choice>
  </mc:AlternateContent>
  <xr:revisionPtr revIDLastSave="0" documentId="13_ncr:1_{2558E624-29B9-4F16-95A1-4C70CE90DC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Benchmark" sheetId="2" r:id="rId2"/>
    <sheet name="Forecasts" sheetId="3" r:id="rId3"/>
    <sheet name="Placement" sheetId="4" r:id="rId4"/>
    <sheet name="Inventory" sheetId="5" r:id="rId5"/>
    <sheet name="KPI Glossary" sheetId="6" r:id="rId6"/>
    <sheet name="Assumptions" sheetId="7" r:id="rId7"/>
  </sheets>
  <calcPr calcId="0"/>
</workbook>
</file>

<file path=xl/sharedStrings.xml><?xml version="1.0" encoding="utf-8"?>
<sst xmlns="http://schemas.openxmlformats.org/spreadsheetml/2006/main" count="1027" uniqueCount="136">
  <si>
    <t>Regional Forecasting and Placement Dashboard</t>
  </si>
  <si>
    <t>Category-region forecast benchmark, network service KPIs, and recommended node placements.</t>
  </si>
  <si>
    <t>Week</t>
  </si>
  <si>
    <t>East</t>
  </si>
  <si>
    <t>North</t>
  </si>
  <si>
    <t>South</t>
  </si>
  <si>
    <t>West</t>
  </si>
  <si>
    <t>Region</t>
  </si>
  <si>
    <t>Fill Gain</t>
  </si>
  <si>
    <t>2026-01-19</t>
  </si>
  <si>
    <t>Metric</t>
  </si>
  <si>
    <t>Value</t>
  </si>
  <si>
    <t>2026-01-26</t>
  </si>
  <si>
    <t>Selected-model WAPE</t>
  </si>
  <si>
    <t>Baseline fill rate</t>
  </si>
  <si>
    <t>2026-02-02</t>
  </si>
  <si>
    <t>On-time fill rate</t>
  </si>
  <si>
    <t>Baseline WAPE</t>
  </si>
  <si>
    <t>2026-02-09</t>
  </si>
  <si>
    <t>Stockout risk</t>
  </si>
  <si>
    <t>Transfer cost baseline</t>
  </si>
  <si>
    <t>2026-02-16</t>
  </si>
  <si>
    <t>Avg lead days</t>
  </si>
  <si>
    <t>Placement adherence</t>
  </si>
  <si>
    <t>2026-02-23</t>
  </si>
  <si>
    <t>Category</t>
  </si>
  <si>
    <t>Demand Region</t>
  </si>
  <si>
    <t>Primary Node</t>
  </si>
  <si>
    <t>Backup Node</t>
  </si>
  <si>
    <t>Fill Rate</t>
  </si>
  <si>
    <t>Lead Days</t>
  </si>
  <si>
    <t>Beauty</t>
  </si>
  <si>
    <t>Central</t>
  </si>
  <si>
    <t>Electronics</t>
  </si>
  <si>
    <t>KPI</t>
  </si>
  <si>
    <t>Baseline</t>
  </si>
  <si>
    <t>Recommended</t>
  </si>
  <si>
    <t>Transfer Savings</t>
  </si>
  <si>
    <t>Forecast WAPE</t>
  </si>
  <si>
    <t>Kitchen</t>
  </si>
  <si>
    <t>Home</t>
  </si>
  <si>
    <t>Stockout Risk</t>
  </si>
  <si>
    <t>Pet</t>
  </si>
  <si>
    <t>Reactive Transfer Cost</t>
  </si>
  <si>
    <t>Avg Lead Days</t>
  </si>
  <si>
    <t>Toys</t>
  </si>
  <si>
    <t>Model Benchmark</t>
  </si>
  <si>
    <t>Weekly category-region holdout comparison between moving average and event-aware regression.</t>
  </si>
  <si>
    <t>Best Model</t>
  </si>
  <si>
    <t>Regression WAPE</t>
  </si>
  <si>
    <t>Baseline MAPE</t>
  </si>
  <si>
    <t>Regression MAPE</t>
  </si>
  <si>
    <t>Holdout Actual</t>
  </si>
  <si>
    <t>Model</t>
  </si>
  <si>
    <t>Winning Combos</t>
  </si>
  <si>
    <t>moving_average</t>
  </si>
  <si>
    <t>regression</t>
  </si>
  <si>
    <t>Selected WAPE</t>
  </si>
  <si>
    <t>Forecast Output</t>
  </si>
  <si>
    <t>Six-week forward demand projections at category-region level with selected model tags.</t>
  </si>
  <si>
    <t>Week Start</t>
  </si>
  <si>
    <t>Horizon Week</t>
  </si>
  <si>
    <t>Selected Model</t>
  </si>
  <si>
    <t>Forecast Units</t>
  </si>
  <si>
    <t>Sigma Weekly</t>
  </si>
  <si>
    <t>Service Level</t>
  </si>
  <si>
    <t>Placement Scenarios</t>
  </si>
  <si>
    <t>Primary and backup node recommendations with fill-rate, stockout, cost, and lead-time implications.</t>
  </si>
  <si>
    <t>Target Inventory Units</t>
  </si>
  <si>
    <t>Baseline Fill Rate</t>
  </si>
  <si>
    <t>Recommended Fill Rate</t>
  </si>
  <si>
    <t>Baseline Stockout Risk</t>
  </si>
  <si>
    <t>Recommended Stockout Risk</t>
  </si>
  <si>
    <t>Baseline Transfer Cost</t>
  </si>
  <si>
    <t>Recommended Transfer Cost</t>
  </si>
  <si>
    <t>Baseline Lead Days</t>
  </si>
  <si>
    <t>Recommended Lead Days</t>
  </si>
  <si>
    <t>Segment</t>
  </si>
  <si>
    <t>Baseline Risk</t>
  </si>
  <si>
    <t>Recommended Risk</t>
  </si>
  <si>
    <t>Electronics-North</t>
  </si>
  <si>
    <t>Toys-North</t>
  </si>
  <si>
    <t>Toys-West</t>
  </si>
  <si>
    <t>Home-North</t>
  </si>
  <si>
    <t>Beauty-West</t>
  </si>
  <si>
    <t>Toys-South</t>
  </si>
  <si>
    <t>Beauty-East</t>
  </si>
  <si>
    <t>Beauty-North</t>
  </si>
  <si>
    <t>Inventory Implications</t>
  </si>
  <si>
    <t>Current node inventory versus recommended active inventory footprint.</t>
  </si>
  <si>
    <t>Warehouse Region</t>
  </si>
  <si>
    <t>On Hand Units</t>
  </si>
  <si>
    <t>Current Share</t>
  </si>
  <si>
    <t>Recommended Active Units</t>
  </si>
  <si>
    <t>Recommended Share</t>
  </si>
  <si>
    <t>Surplus vs Target</t>
  </si>
  <si>
    <t>Surplus Units</t>
  </si>
  <si>
    <t>KPI Glossary</t>
  </si>
  <si>
    <t>Reference metrics requested in the project template.</t>
  </si>
  <si>
    <t>KPI Name</t>
  </si>
  <si>
    <t>Formula or Logic</t>
  </si>
  <si>
    <t>Business Use</t>
  </si>
  <si>
    <t>MAPE or WAPE</t>
  </si>
  <si>
    <t>Forecast error metric</t>
  </si>
  <si>
    <t>Accuracy</t>
  </si>
  <si>
    <t>Fill rate</t>
  </si>
  <si>
    <t>Demand fulfilled / demand requested</t>
  </si>
  <si>
    <t>Service level</t>
  </si>
  <si>
    <t>Probability of no inventory</t>
  </si>
  <si>
    <t>Availability</t>
  </si>
  <si>
    <t>Transfer cost</t>
  </si>
  <si>
    <t>Inter-node transfer cost</t>
  </si>
  <si>
    <t>Network efficiency</t>
  </si>
  <si>
    <t>Inventory turns</t>
  </si>
  <si>
    <t>Annualized demand / average inventory</t>
  </si>
  <si>
    <t>Working capital</t>
  </si>
  <si>
    <t>Recommended vs actual stock positioning</t>
  </si>
  <si>
    <t>Planning discipline</t>
  </si>
  <si>
    <t>Assumptions and Use Notes</t>
  </si>
  <si>
    <t>Business rules used to convert forecasts into inventory and placement decisions.</t>
  </si>
  <si>
    <t>Topic</t>
  </si>
  <si>
    <t>Decision Rule</t>
  </si>
  <si>
    <t>Forecast grain</t>
  </si>
  <si>
    <t>Weekly category-region, then allocated to SKU-region using observed demand mix share.</t>
  </si>
  <si>
    <t>Benchmarking</t>
  </si>
  <si>
    <t>Moving average versus event-aware regression; choose the lower-WAPE method by category-region.</t>
  </si>
  <si>
    <t>Safety stock</t>
  </si>
  <si>
    <t>Two-week cycle stock plus safety stock using target service level and normal-demand approximation.</t>
  </si>
  <si>
    <t>Placement logic</t>
  </si>
  <si>
    <t>Primary node chosen on service-weighted score; backup node provides resilience buffer.</t>
  </si>
  <si>
    <t>Transfer metric</t>
  </si>
  <si>
    <t>Reactive transfer cost estimates expedited cross-node units needed to protect on-time fill.</t>
  </si>
  <si>
    <t>Inventory implication</t>
  </si>
  <si>
    <t>Use current on-hand only as directional placement signal because source inventory is heavily overstocked.</t>
  </si>
  <si>
    <t>Limitations</t>
  </si>
  <si>
    <t>No true SKU-region time-series history, no supplier lead times, and no transfer-history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</si>
</sst>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6">
    <font>
      <sz val="11"/>
      <name val="Carlito"/>
    </font>
    <font>
      <b/>
      <sz val="18"/>
      <color rgb="FFFFFFFF"/>
      <name val="Carlito"/>
    </font>
    <font>
      <i/>
      <sz val="11"/>
      <color rgb="FF1E293B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F172A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CE8F5"/>
      </patternFill>
    </fill>
    <fill>
      <patternFill patternType="solid">
        <fgColor rgb="FF0F172A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Six-Week Regional Demand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East</c:v>
          </c:tx>
          <c:cat>
            <c:strRef>
              <c:f>Dashboard!$J$3:$J$8</c:f>
              <c:strCache>
                <c:ptCount val="6"/>
                <c:pt idx="0">
                  <c:v>2026-01-19</c:v>
                </c:pt>
                <c:pt idx="1">
                  <c:v>2026-01-26</c:v>
                </c:pt>
                <c:pt idx="2">
                  <c:v>2026-02-02</c:v>
                </c:pt>
                <c:pt idx="3">
                  <c:v>2026-02-09</c:v>
                </c:pt>
                <c:pt idx="4">
                  <c:v>2026-02-16</c:v>
                </c:pt>
                <c:pt idx="5">
                  <c:v>2026-02-23</c:v>
                </c:pt>
              </c:strCache>
            </c:strRef>
          </c:cat>
          <c:val>
            <c:numRef>
              <c:f>Dashboard!$K$3:$K$8</c:f>
              <c:numCache>
                <c:formatCode>General</c:formatCode>
                <c:ptCount val="6"/>
                <c:pt idx="0">
                  <c:v>352.25</c:v>
                </c:pt>
                <c:pt idx="1">
                  <c:v>333.56</c:v>
                </c:pt>
                <c:pt idx="2">
                  <c:v>339.96</c:v>
                </c:pt>
                <c:pt idx="3">
                  <c:v>326.69</c:v>
                </c:pt>
                <c:pt idx="4">
                  <c:v>338.11</c:v>
                </c:pt>
                <c:pt idx="5">
                  <c:v>334.59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4-4191-9272-56565501782F}"/>
            </c:ext>
          </c:extLst>
        </c:ser>
        <c:ser>
          <c:idx val="1"/>
          <c:order val="1"/>
          <c:tx>
            <c:v>North</c:v>
          </c:tx>
          <c:cat>
            <c:strRef>
              <c:f>Dashboard!$J$3:$J$8</c:f>
              <c:strCache>
                <c:ptCount val="6"/>
                <c:pt idx="0">
                  <c:v>2026-01-19</c:v>
                </c:pt>
                <c:pt idx="1">
                  <c:v>2026-01-26</c:v>
                </c:pt>
                <c:pt idx="2">
                  <c:v>2026-02-02</c:v>
                </c:pt>
                <c:pt idx="3">
                  <c:v>2026-02-09</c:v>
                </c:pt>
                <c:pt idx="4">
                  <c:v>2026-02-16</c:v>
                </c:pt>
                <c:pt idx="5">
                  <c:v>2026-02-23</c:v>
                </c:pt>
              </c:strCache>
            </c:strRef>
          </c:cat>
          <c:val>
            <c:numRef>
              <c:f>Dashboard!$L$3:$L$8</c:f>
              <c:numCache>
                <c:formatCode>General</c:formatCode>
                <c:ptCount val="6"/>
                <c:pt idx="0">
                  <c:v>372.08</c:v>
                </c:pt>
                <c:pt idx="1">
                  <c:v>329.16</c:v>
                </c:pt>
                <c:pt idx="2">
                  <c:v>315.83</c:v>
                </c:pt>
                <c:pt idx="3">
                  <c:v>346.03000000000003</c:v>
                </c:pt>
                <c:pt idx="4">
                  <c:v>450.03</c:v>
                </c:pt>
                <c:pt idx="5">
                  <c:v>437.32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C4-4191-9272-56565501782F}"/>
            </c:ext>
          </c:extLst>
        </c:ser>
        <c:ser>
          <c:idx val="2"/>
          <c:order val="2"/>
          <c:tx>
            <c:v>South</c:v>
          </c:tx>
          <c:cat>
            <c:strRef>
              <c:f>Dashboard!$J$3:$J$8</c:f>
              <c:strCache>
                <c:ptCount val="6"/>
                <c:pt idx="0">
                  <c:v>2026-01-19</c:v>
                </c:pt>
                <c:pt idx="1">
                  <c:v>2026-01-26</c:v>
                </c:pt>
                <c:pt idx="2">
                  <c:v>2026-02-02</c:v>
                </c:pt>
                <c:pt idx="3">
                  <c:v>2026-02-09</c:v>
                </c:pt>
                <c:pt idx="4">
                  <c:v>2026-02-16</c:v>
                </c:pt>
                <c:pt idx="5">
                  <c:v>2026-02-23</c:v>
                </c:pt>
              </c:strCache>
            </c:strRef>
          </c:cat>
          <c:val>
            <c:numRef>
              <c:f>Dashboard!$M$3:$M$8</c:f>
              <c:numCache>
                <c:formatCode>General</c:formatCode>
                <c:ptCount val="6"/>
                <c:pt idx="0">
                  <c:v>242.75</c:v>
                </c:pt>
                <c:pt idx="1">
                  <c:v>239.44</c:v>
                </c:pt>
                <c:pt idx="2">
                  <c:v>252.55</c:v>
                </c:pt>
                <c:pt idx="3">
                  <c:v>273.69</c:v>
                </c:pt>
                <c:pt idx="4">
                  <c:v>283.54000000000002</c:v>
                </c:pt>
                <c:pt idx="5">
                  <c:v>271.09000000000003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C4-4191-9272-56565501782F}"/>
            </c:ext>
          </c:extLst>
        </c:ser>
        <c:ser>
          <c:idx val="3"/>
          <c:order val="3"/>
          <c:tx>
            <c:v>West</c:v>
          </c:tx>
          <c:cat>
            <c:strRef>
              <c:f>Dashboard!$J$3:$J$8</c:f>
              <c:strCache>
                <c:ptCount val="6"/>
                <c:pt idx="0">
                  <c:v>2026-01-19</c:v>
                </c:pt>
                <c:pt idx="1">
                  <c:v>2026-01-26</c:v>
                </c:pt>
                <c:pt idx="2">
                  <c:v>2026-02-02</c:v>
                </c:pt>
                <c:pt idx="3">
                  <c:v>2026-02-09</c:v>
                </c:pt>
                <c:pt idx="4">
                  <c:v>2026-02-16</c:v>
                </c:pt>
                <c:pt idx="5">
                  <c:v>2026-02-23</c:v>
                </c:pt>
              </c:strCache>
            </c:strRef>
          </c:cat>
          <c:val>
            <c:numRef>
              <c:f>Dashboard!$N$3:$N$8</c:f>
              <c:numCache>
                <c:formatCode>General</c:formatCode>
                <c:ptCount val="6"/>
                <c:pt idx="0">
                  <c:v>410.33000000000004</c:v>
                </c:pt>
                <c:pt idx="1">
                  <c:v>456</c:v>
                </c:pt>
                <c:pt idx="2">
                  <c:v>434.29</c:v>
                </c:pt>
                <c:pt idx="3">
                  <c:v>454.28</c:v>
                </c:pt>
                <c:pt idx="4">
                  <c:v>441.66</c:v>
                </c:pt>
                <c:pt idx="5">
                  <c:v>459.73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C4-4191-9272-565655017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Baseline vs Recommended KPI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Dashboard!$J$21:$J$25</c:f>
              <c:strCache>
                <c:ptCount val="5"/>
                <c:pt idx="0">
                  <c:v>Forecast WAPE</c:v>
                </c:pt>
                <c:pt idx="1">
                  <c:v>Fill Rate</c:v>
                </c:pt>
                <c:pt idx="2">
                  <c:v>Stockout Risk</c:v>
                </c:pt>
                <c:pt idx="3">
                  <c:v>Reactive Transfer Cost</c:v>
                </c:pt>
                <c:pt idx="4">
                  <c:v>Avg Lead Days</c:v>
                </c:pt>
              </c:strCache>
            </c:strRef>
          </c:cat>
          <c:val>
            <c:numRef>
              <c:f>Dashboard!$K$21:$K$25</c:f>
              <c:numCache>
                <c:formatCode>General</c:formatCode>
                <c:ptCount val="5"/>
                <c:pt idx="0">
                  <c:v>0.57920000000000005</c:v>
                </c:pt>
                <c:pt idx="1">
                  <c:v>0.80449999999999999</c:v>
                </c:pt>
                <c:pt idx="2">
                  <c:v>2.9999999999999997E-4</c:v>
                </c:pt>
                <c:pt idx="3">
                  <c:v>483.92</c:v>
                </c:pt>
                <c:pt idx="4">
                  <c:v>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B-4CD1-85F4-9A7EDF20D988}"/>
            </c:ext>
          </c:extLst>
        </c:ser>
        <c:ser>
          <c:idx val="1"/>
          <c:order val="1"/>
          <c:tx>
            <c:v>Recommended</c:v>
          </c:tx>
          <c:invertIfNegative val="1"/>
          <c:cat>
            <c:strRef>
              <c:f>Dashboard!$J$21:$J$25</c:f>
              <c:strCache>
                <c:ptCount val="5"/>
                <c:pt idx="0">
                  <c:v>Forecast WAPE</c:v>
                </c:pt>
                <c:pt idx="1">
                  <c:v>Fill Rate</c:v>
                </c:pt>
                <c:pt idx="2">
                  <c:v>Stockout Risk</c:v>
                </c:pt>
                <c:pt idx="3">
                  <c:v>Reactive Transfer Cost</c:v>
                </c:pt>
                <c:pt idx="4">
                  <c:v>Avg Lead Days</c:v>
                </c:pt>
              </c:strCache>
            </c:strRef>
          </c:cat>
          <c:val>
            <c:numRef>
              <c:f>Dashboard!$L$21:$L$25</c:f>
              <c:numCache>
                <c:formatCode>General</c:formatCode>
                <c:ptCount val="5"/>
                <c:pt idx="0">
                  <c:v>0.5464</c:v>
                </c:pt>
                <c:pt idx="1">
                  <c:v>0.97799999999999998</c:v>
                </c:pt>
                <c:pt idx="2">
                  <c:v>0</c:v>
                </c:pt>
                <c:pt idx="3">
                  <c:v>49.84</c:v>
                </c:pt>
                <c:pt idx="4">
                  <c:v>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BB-4CD1-85F4-9A7EDF20D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Fill-Rate Improvement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Fill Gain</c:v>
          </c:tx>
          <c:invertIfNegative val="1"/>
          <c:cat>
            <c:strRef>
              <c:f>Dashboard!$R$3:$R$6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Dashboard!$S$3:$S$6</c:f>
              <c:numCache>
                <c:formatCode>General</c:formatCode>
                <c:ptCount val="4"/>
                <c:pt idx="0">
                  <c:v>1.1388</c:v>
                </c:pt>
                <c:pt idx="1">
                  <c:v>0.99669999999999992</c:v>
                </c:pt>
                <c:pt idx="2">
                  <c:v>0.91789999999999994</c:v>
                </c:pt>
                <c:pt idx="3">
                  <c:v>0.69150000000000011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E-43B1-9781-5FC26A06F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Transfer-Cost Savings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Transfer Savings</c:v>
          </c:tx>
          <c:invertIfNegative val="1"/>
          <c:cat>
            <c:strRef>
              <c:f>Dashboard!$R$21:$R$26</c:f>
              <c:strCache>
                <c:ptCount val="6"/>
                <c:pt idx="0">
                  <c:v>Kitchen</c:v>
                </c:pt>
                <c:pt idx="1">
                  <c:v>Home</c:v>
                </c:pt>
                <c:pt idx="2">
                  <c:v>Pet</c:v>
                </c:pt>
                <c:pt idx="3">
                  <c:v>Electronics</c:v>
                </c:pt>
                <c:pt idx="4">
                  <c:v>Beauty</c:v>
                </c:pt>
                <c:pt idx="5">
                  <c:v>Toys</c:v>
                </c:pt>
              </c:strCache>
            </c:strRef>
          </c:cat>
          <c:val>
            <c:numRef>
              <c:f>Dashboard!$S$21:$S$26</c:f>
              <c:numCache>
                <c:formatCode>General</c:formatCode>
                <c:ptCount val="6"/>
                <c:pt idx="0">
                  <c:v>145.37</c:v>
                </c:pt>
                <c:pt idx="1">
                  <c:v>114.01999999999998</c:v>
                </c:pt>
                <c:pt idx="2">
                  <c:v>83.63000000000001</c:v>
                </c:pt>
                <c:pt idx="3">
                  <c:v>42.38</c:v>
                </c:pt>
                <c:pt idx="4">
                  <c:v>28.410000000000004</c:v>
                </c:pt>
                <c:pt idx="5">
                  <c:v>20.270000000000003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1-4971-A10C-FBFE0CF3C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Winning Model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Winning Combos</c:v>
          </c:tx>
          <c:cat>
            <c:strRef>
              <c:f>Benchmark!$J$5:$J$6</c:f>
              <c:strCache>
                <c:ptCount val="2"/>
                <c:pt idx="0">
                  <c:v>moving_average</c:v>
                </c:pt>
                <c:pt idx="1">
                  <c:v>regression</c:v>
                </c:pt>
              </c:strCache>
            </c:strRef>
          </c:cat>
          <c:val>
            <c:numRef>
              <c:f>Benchmark!$K$5:$K$6</c:f>
              <c:numCache>
                <c:formatCode>General</c:formatCode>
                <c:ptCount val="2"/>
                <c:pt idx="0">
                  <c:v>17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1-47D0-8DF7-D81E90608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Selected WAPE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Selected WAPE</c:v>
          </c:tx>
          <c:invertIfNegative val="1"/>
          <c:cat>
            <c:strRef>
              <c:f>Benchmark!$J$25:$J$30</c:f>
              <c:strCache>
                <c:ptCount val="6"/>
                <c:pt idx="0">
                  <c:v>Home</c:v>
                </c:pt>
                <c:pt idx="1">
                  <c:v>Toys</c:v>
                </c:pt>
                <c:pt idx="2">
                  <c:v>Electronics</c:v>
                </c:pt>
                <c:pt idx="3">
                  <c:v>Kitchen</c:v>
                </c:pt>
                <c:pt idx="4">
                  <c:v>Pet</c:v>
                </c:pt>
                <c:pt idx="5">
                  <c:v>Beauty</c:v>
                </c:pt>
              </c:strCache>
            </c:strRef>
          </c:cat>
          <c:val>
            <c:numRef>
              <c:f>Benchmark!$K$25:$K$30</c:f>
              <c:numCache>
                <c:formatCode>General</c:formatCode>
                <c:ptCount val="6"/>
                <c:pt idx="0">
                  <c:v>0.70026486823361811</c:v>
                </c:pt>
                <c:pt idx="1">
                  <c:v>0.67845870067713732</c:v>
                </c:pt>
                <c:pt idx="2">
                  <c:v>0.54377564276855184</c:v>
                </c:pt>
                <c:pt idx="3">
                  <c:v>0.51231105525234</c:v>
                </c:pt>
                <c:pt idx="4">
                  <c:v>0.43896164560698803</c:v>
                </c:pt>
                <c:pt idx="5">
                  <c:v>0.40105065848213267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C-451F-BFF6-5E0D8A05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Regional Forecast Trajectory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East</c:v>
          </c:tx>
          <c:cat>
            <c:strRef>
              <c:f>Forecasts!$J$5:$J$10</c:f>
              <c:strCache>
                <c:ptCount val="6"/>
                <c:pt idx="0">
                  <c:v>2026-01-19</c:v>
                </c:pt>
                <c:pt idx="1">
                  <c:v>2026-01-26</c:v>
                </c:pt>
                <c:pt idx="2">
                  <c:v>2026-02-02</c:v>
                </c:pt>
                <c:pt idx="3">
                  <c:v>2026-02-09</c:v>
                </c:pt>
                <c:pt idx="4">
                  <c:v>2026-02-16</c:v>
                </c:pt>
                <c:pt idx="5">
                  <c:v>2026-02-23</c:v>
                </c:pt>
              </c:strCache>
            </c:strRef>
          </c:cat>
          <c:val>
            <c:numRef>
              <c:f>Forecasts!$K$5:$K$10</c:f>
              <c:numCache>
                <c:formatCode>General</c:formatCode>
                <c:ptCount val="6"/>
                <c:pt idx="0">
                  <c:v>352.25</c:v>
                </c:pt>
                <c:pt idx="1">
                  <c:v>333.56</c:v>
                </c:pt>
                <c:pt idx="2">
                  <c:v>339.96</c:v>
                </c:pt>
                <c:pt idx="3">
                  <c:v>326.69</c:v>
                </c:pt>
                <c:pt idx="4">
                  <c:v>338.11</c:v>
                </c:pt>
                <c:pt idx="5">
                  <c:v>334.59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E-436B-B41D-27B739809572}"/>
            </c:ext>
          </c:extLst>
        </c:ser>
        <c:ser>
          <c:idx val="1"/>
          <c:order val="1"/>
          <c:tx>
            <c:v>North</c:v>
          </c:tx>
          <c:cat>
            <c:strRef>
              <c:f>Forecasts!$J$5:$J$10</c:f>
              <c:strCache>
                <c:ptCount val="6"/>
                <c:pt idx="0">
                  <c:v>2026-01-19</c:v>
                </c:pt>
                <c:pt idx="1">
                  <c:v>2026-01-26</c:v>
                </c:pt>
                <c:pt idx="2">
                  <c:v>2026-02-02</c:v>
                </c:pt>
                <c:pt idx="3">
                  <c:v>2026-02-09</c:v>
                </c:pt>
                <c:pt idx="4">
                  <c:v>2026-02-16</c:v>
                </c:pt>
                <c:pt idx="5">
                  <c:v>2026-02-23</c:v>
                </c:pt>
              </c:strCache>
            </c:strRef>
          </c:cat>
          <c:val>
            <c:numRef>
              <c:f>Forecasts!$L$5:$L$10</c:f>
              <c:numCache>
                <c:formatCode>General</c:formatCode>
                <c:ptCount val="6"/>
                <c:pt idx="0">
                  <c:v>372.08</c:v>
                </c:pt>
                <c:pt idx="1">
                  <c:v>329.16</c:v>
                </c:pt>
                <c:pt idx="2">
                  <c:v>315.83</c:v>
                </c:pt>
                <c:pt idx="3">
                  <c:v>346.03000000000003</c:v>
                </c:pt>
                <c:pt idx="4">
                  <c:v>450.03</c:v>
                </c:pt>
                <c:pt idx="5">
                  <c:v>437.32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E-436B-B41D-27B739809572}"/>
            </c:ext>
          </c:extLst>
        </c:ser>
        <c:ser>
          <c:idx val="2"/>
          <c:order val="2"/>
          <c:tx>
            <c:v>South</c:v>
          </c:tx>
          <c:cat>
            <c:strRef>
              <c:f>Forecasts!$J$5:$J$10</c:f>
              <c:strCache>
                <c:ptCount val="6"/>
                <c:pt idx="0">
                  <c:v>2026-01-19</c:v>
                </c:pt>
                <c:pt idx="1">
                  <c:v>2026-01-26</c:v>
                </c:pt>
                <c:pt idx="2">
                  <c:v>2026-02-02</c:v>
                </c:pt>
                <c:pt idx="3">
                  <c:v>2026-02-09</c:v>
                </c:pt>
                <c:pt idx="4">
                  <c:v>2026-02-16</c:v>
                </c:pt>
                <c:pt idx="5">
                  <c:v>2026-02-23</c:v>
                </c:pt>
              </c:strCache>
            </c:strRef>
          </c:cat>
          <c:val>
            <c:numRef>
              <c:f>Forecasts!$M$5:$M$10</c:f>
              <c:numCache>
                <c:formatCode>General</c:formatCode>
                <c:ptCount val="6"/>
                <c:pt idx="0">
                  <c:v>242.75</c:v>
                </c:pt>
                <c:pt idx="1">
                  <c:v>239.44</c:v>
                </c:pt>
                <c:pt idx="2">
                  <c:v>252.55</c:v>
                </c:pt>
                <c:pt idx="3">
                  <c:v>273.69</c:v>
                </c:pt>
                <c:pt idx="4">
                  <c:v>283.54000000000002</c:v>
                </c:pt>
                <c:pt idx="5">
                  <c:v>271.09000000000003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E-436B-B41D-27B739809572}"/>
            </c:ext>
          </c:extLst>
        </c:ser>
        <c:ser>
          <c:idx val="3"/>
          <c:order val="3"/>
          <c:tx>
            <c:v>West</c:v>
          </c:tx>
          <c:cat>
            <c:strRef>
              <c:f>Forecasts!$J$5:$J$10</c:f>
              <c:strCache>
                <c:ptCount val="6"/>
                <c:pt idx="0">
                  <c:v>2026-01-19</c:v>
                </c:pt>
                <c:pt idx="1">
                  <c:v>2026-01-26</c:v>
                </c:pt>
                <c:pt idx="2">
                  <c:v>2026-02-02</c:v>
                </c:pt>
                <c:pt idx="3">
                  <c:v>2026-02-09</c:v>
                </c:pt>
                <c:pt idx="4">
                  <c:v>2026-02-16</c:v>
                </c:pt>
                <c:pt idx="5">
                  <c:v>2026-02-23</c:v>
                </c:pt>
              </c:strCache>
            </c:strRef>
          </c:cat>
          <c:val>
            <c:numRef>
              <c:f>Forecasts!$N$5:$N$10</c:f>
              <c:numCache>
                <c:formatCode>General</c:formatCode>
                <c:ptCount val="6"/>
                <c:pt idx="0">
                  <c:v>410.33000000000004</c:v>
                </c:pt>
                <c:pt idx="1">
                  <c:v>456</c:v>
                </c:pt>
                <c:pt idx="2">
                  <c:v>434.29</c:v>
                </c:pt>
                <c:pt idx="3">
                  <c:v>454.28</c:v>
                </c:pt>
                <c:pt idx="4">
                  <c:v>441.66</c:v>
                </c:pt>
                <c:pt idx="5">
                  <c:v>459.73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EE-436B-B41D-27B739809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Lead-Time Comparison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 Lead Days</c:v>
          </c:tx>
          <c:invertIfNegative val="1"/>
          <c:cat>
            <c:strRef>
              <c:f>Placement!$O$5:$O$28</c:f>
              <c:strCache>
                <c:ptCount val="24"/>
                <c:pt idx="0">
                  <c:v>North</c:v>
                </c:pt>
                <c:pt idx="1">
                  <c:v>North</c:v>
                </c:pt>
                <c:pt idx="2">
                  <c:v>North</c:v>
                </c:pt>
                <c:pt idx="3">
                  <c:v>North</c:v>
                </c:pt>
                <c:pt idx="4">
                  <c:v>North</c:v>
                </c:pt>
                <c:pt idx="5">
                  <c:v>West</c:v>
                </c:pt>
                <c:pt idx="6">
                  <c:v>West</c:v>
                </c:pt>
                <c:pt idx="7">
                  <c:v>West</c:v>
                </c:pt>
                <c:pt idx="8">
                  <c:v>West</c:v>
                </c:pt>
                <c:pt idx="9">
                  <c:v>West</c:v>
                </c:pt>
                <c:pt idx="10">
                  <c:v>North</c:v>
                </c:pt>
                <c:pt idx="11">
                  <c:v>South</c:v>
                </c:pt>
                <c:pt idx="12">
                  <c:v>South</c:v>
                </c:pt>
                <c:pt idx="13">
                  <c:v>South</c:v>
                </c:pt>
                <c:pt idx="14">
                  <c:v>South</c:v>
                </c:pt>
                <c:pt idx="15">
                  <c:v>East</c:v>
                </c:pt>
                <c:pt idx="16">
                  <c:v>South</c:v>
                </c:pt>
                <c:pt idx="17">
                  <c:v>South</c:v>
                </c:pt>
                <c:pt idx="18">
                  <c:v>East</c:v>
                </c:pt>
                <c:pt idx="19">
                  <c:v>West</c:v>
                </c:pt>
                <c:pt idx="20">
                  <c:v>East</c:v>
                </c:pt>
                <c:pt idx="21">
                  <c:v>East</c:v>
                </c:pt>
                <c:pt idx="22">
                  <c:v>East</c:v>
                </c:pt>
                <c:pt idx="23">
                  <c:v>Segment</c:v>
                </c:pt>
              </c:strCache>
            </c:strRef>
          </c:cat>
          <c:val>
            <c:numRef>
              <c:f>Placement!$P$5:$P$28</c:f>
              <c:numCache>
                <c:formatCode>General</c:formatCode>
                <c:ptCount val="24"/>
                <c:pt idx="0">
                  <c:v>2.69</c:v>
                </c:pt>
                <c:pt idx="1">
                  <c:v>2.68</c:v>
                </c:pt>
                <c:pt idx="2">
                  <c:v>2.67</c:v>
                </c:pt>
                <c:pt idx="3">
                  <c:v>2.65</c:v>
                </c:pt>
                <c:pt idx="4">
                  <c:v>2.64</c:v>
                </c:pt>
                <c:pt idx="5">
                  <c:v>2.5099999999999998</c:v>
                </c:pt>
                <c:pt idx="6">
                  <c:v>2.5</c:v>
                </c:pt>
                <c:pt idx="7">
                  <c:v>2.4900000000000002</c:v>
                </c:pt>
                <c:pt idx="8">
                  <c:v>2.44</c:v>
                </c:pt>
                <c:pt idx="9">
                  <c:v>2.42</c:v>
                </c:pt>
                <c:pt idx="10">
                  <c:v>2.39</c:v>
                </c:pt>
                <c:pt idx="11">
                  <c:v>2.3199999999999998</c:v>
                </c:pt>
                <c:pt idx="12">
                  <c:v>2.25</c:v>
                </c:pt>
                <c:pt idx="13">
                  <c:v>2.1800000000000002</c:v>
                </c:pt>
                <c:pt idx="14">
                  <c:v>2.14</c:v>
                </c:pt>
                <c:pt idx="15">
                  <c:v>2.13</c:v>
                </c:pt>
                <c:pt idx="16">
                  <c:v>2.1</c:v>
                </c:pt>
                <c:pt idx="17">
                  <c:v>2.1</c:v>
                </c:pt>
                <c:pt idx="18">
                  <c:v>2</c:v>
                </c:pt>
                <c:pt idx="19">
                  <c:v>1.98</c:v>
                </c:pt>
                <c:pt idx="20">
                  <c:v>1.98</c:v>
                </c:pt>
                <c:pt idx="21">
                  <c:v>1.95</c:v>
                </c:pt>
                <c:pt idx="22">
                  <c:v>1.91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7-435D-8E12-6EC192446055}"/>
            </c:ext>
          </c:extLst>
        </c:ser>
        <c:ser>
          <c:idx val="1"/>
          <c:order val="1"/>
          <c:tx>
            <c:v>Recommended Lead Days</c:v>
          </c:tx>
          <c:invertIfNegative val="1"/>
          <c:cat>
            <c:strRef>
              <c:f>Placement!$O$5:$O$28</c:f>
              <c:strCache>
                <c:ptCount val="24"/>
                <c:pt idx="0">
                  <c:v>North</c:v>
                </c:pt>
                <c:pt idx="1">
                  <c:v>North</c:v>
                </c:pt>
                <c:pt idx="2">
                  <c:v>North</c:v>
                </c:pt>
                <c:pt idx="3">
                  <c:v>North</c:v>
                </c:pt>
                <c:pt idx="4">
                  <c:v>North</c:v>
                </c:pt>
                <c:pt idx="5">
                  <c:v>West</c:v>
                </c:pt>
                <c:pt idx="6">
                  <c:v>West</c:v>
                </c:pt>
                <c:pt idx="7">
                  <c:v>West</c:v>
                </c:pt>
                <c:pt idx="8">
                  <c:v>West</c:v>
                </c:pt>
                <c:pt idx="9">
                  <c:v>West</c:v>
                </c:pt>
                <c:pt idx="10">
                  <c:v>North</c:v>
                </c:pt>
                <c:pt idx="11">
                  <c:v>South</c:v>
                </c:pt>
                <c:pt idx="12">
                  <c:v>South</c:v>
                </c:pt>
                <c:pt idx="13">
                  <c:v>South</c:v>
                </c:pt>
                <c:pt idx="14">
                  <c:v>South</c:v>
                </c:pt>
                <c:pt idx="15">
                  <c:v>East</c:v>
                </c:pt>
                <c:pt idx="16">
                  <c:v>South</c:v>
                </c:pt>
                <c:pt idx="17">
                  <c:v>South</c:v>
                </c:pt>
                <c:pt idx="18">
                  <c:v>East</c:v>
                </c:pt>
                <c:pt idx="19">
                  <c:v>West</c:v>
                </c:pt>
                <c:pt idx="20">
                  <c:v>East</c:v>
                </c:pt>
                <c:pt idx="21">
                  <c:v>East</c:v>
                </c:pt>
                <c:pt idx="22">
                  <c:v>East</c:v>
                </c:pt>
                <c:pt idx="23">
                  <c:v>Segment</c:v>
                </c:pt>
              </c:strCache>
            </c:strRef>
          </c:cat>
          <c:val>
            <c:numRef>
              <c:f>Placement!$Q$5:$Q$28</c:f>
              <c:numCache>
                <c:formatCode>General</c:formatCode>
                <c:ptCount val="24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1.5</c:v>
                </c:pt>
                <c:pt idx="6">
                  <c:v>1.3</c:v>
                </c:pt>
                <c:pt idx="7">
                  <c:v>1.5</c:v>
                </c:pt>
                <c:pt idx="8">
                  <c:v>1.5</c:v>
                </c:pt>
                <c:pt idx="9">
                  <c:v>1.2</c:v>
                </c:pt>
                <c:pt idx="10">
                  <c:v>2.2000000000000002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1.3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7-435D-8E12-6EC192446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Baseline Stockout-Risk Segments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 Risk</c:v>
          </c:tx>
          <c:invertIfNegative val="1"/>
          <c:cat>
            <c:strRef>
              <c:f>Placement!$O$29:$O$36</c:f>
              <c:strCache>
                <c:ptCount val="8"/>
                <c:pt idx="0">
                  <c:v>Electronics-North</c:v>
                </c:pt>
                <c:pt idx="1">
                  <c:v>Toys-North</c:v>
                </c:pt>
                <c:pt idx="2">
                  <c:v>Toys-West</c:v>
                </c:pt>
                <c:pt idx="3">
                  <c:v>Home-North</c:v>
                </c:pt>
                <c:pt idx="4">
                  <c:v>Beauty-West</c:v>
                </c:pt>
                <c:pt idx="5">
                  <c:v>Toys-South</c:v>
                </c:pt>
                <c:pt idx="6">
                  <c:v>Beauty-East</c:v>
                </c:pt>
                <c:pt idx="7">
                  <c:v>Beauty-North</c:v>
                </c:pt>
              </c:strCache>
            </c:strRef>
          </c:cat>
          <c:val>
            <c:numRef>
              <c:f>Placement!$P$29:$P$36</c:f>
              <c:numCache>
                <c:formatCode>General</c:formatCode>
                <c:ptCount val="8"/>
                <c:pt idx="0">
                  <c:v>2.8E-3</c:v>
                </c:pt>
                <c:pt idx="1">
                  <c:v>1.8E-3</c:v>
                </c:pt>
                <c:pt idx="2">
                  <c:v>1E-3</c:v>
                </c:pt>
                <c:pt idx="3">
                  <c:v>2.0000000000000001E-4</c:v>
                </c:pt>
                <c:pt idx="4">
                  <c:v>1E-4</c:v>
                </c:pt>
                <c:pt idx="5">
                  <c:v>1E-4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5-4FA0-8DF8-715057FA1E6C}"/>
            </c:ext>
          </c:extLst>
        </c:ser>
        <c:ser>
          <c:idx val="1"/>
          <c:order val="1"/>
          <c:tx>
            <c:v>Recommended Risk</c:v>
          </c:tx>
          <c:invertIfNegative val="1"/>
          <c:cat>
            <c:strRef>
              <c:f>Placement!$O$29:$O$36</c:f>
              <c:strCache>
                <c:ptCount val="8"/>
                <c:pt idx="0">
                  <c:v>Electronics-North</c:v>
                </c:pt>
                <c:pt idx="1">
                  <c:v>Toys-North</c:v>
                </c:pt>
                <c:pt idx="2">
                  <c:v>Toys-West</c:v>
                </c:pt>
                <c:pt idx="3">
                  <c:v>Home-North</c:v>
                </c:pt>
                <c:pt idx="4">
                  <c:v>Beauty-West</c:v>
                </c:pt>
                <c:pt idx="5">
                  <c:v>Toys-South</c:v>
                </c:pt>
                <c:pt idx="6">
                  <c:v>Beauty-East</c:v>
                </c:pt>
                <c:pt idx="7">
                  <c:v>Beauty-North</c:v>
                </c:pt>
              </c:strCache>
            </c:strRef>
          </c:cat>
          <c:val>
            <c:numRef>
              <c:f>Placement!$Q$29:$Q$36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2.0000000000000001E-4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5-4FA0-8DF8-715057FA1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Inventory Surplus by Node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Surplus Units</c:v>
          </c:tx>
          <c:invertIfNegative val="1"/>
          <c:cat>
            <c:strRef>
              <c:f>Inventory!$J$5:$J$9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  <c:pt idx="4">
                  <c:v>South</c:v>
                </c:pt>
              </c:strCache>
            </c:strRef>
          </c:cat>
          <c:val>
            <c:numRef>
              <c:f>Inventory!$K$5:$K$9</c:f>
              <c:numCache>
                <c:formatCode>General</c:formatCode>
                <c:ptCount val="5"/>
                <c:pt idx="0">
                  <c:v>1999502.8800000001</c:v>
                </c:pt>
                <c:pt idx="1">
                  <c:v>1882074.1099999999</c:v>
                </c:pt>
                <c:pt idx="2">
                  <c:v>1869231.8400000003</c:v>
                </c:pt>
                <c:pt idx="3">
                  <c:v>1675566.2999999998</c:v>
                </c:pt>
                <c:pt idx="4">
                  <c:v>1496307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2-4D4B-A340-AE1B7E89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69021</xdr:colOff>
      <xdr:row>8</xdr:row>
      <xdr:rowOff>27608</xdr:rowOff>
    </xdr:from>
    <xdr:to>
      <xdr:col>16</xdr:col>
      <xdr:colOff>69021</xdr:colOff>
      <xdr:row>25</xdr:row>
      <xdr:rowOff>27609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455544</xdr:colOff>
      <xdr:row>25</xdr:row>
      <xdr:rowOff>110435</xdr:rowOff>
    </xdr:from>
    <xdr:to>
      <xdr:col>15</xdr:col>
      <xdr:colOff>455544</xdr:colOff>
      <xdr:row>42</xdr:row>
      <xdr:rowOff>110435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</xdr:row>
      <xdr:rowOff>151848</xdr:rowOff>
    </xdr:from>
    <xdr:to>
      <xdr:col>27</xdr:col>
      <xdr:colOff>0</xdr:colOff>
      <xdr:row>18</xdr:row>
      <xdr:rowOff>151848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69022</xdr:colOff>
      <xdr:row>19</xdr:row>
      <xdr:rowOff>151848</xdr:rowOff>
    </xdr:from>
    <xdr:to>
      <xdr:col>27</xdr:col>
      <xdr:colOff>69022</xdr:colOff>
      <xdr:row>36</xdr:row>
      <xdr:rowOff>151848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47924</xdr:colOff>
      <xdr:row>23</xdr:row>
      <xdr:rowOff>11981</xdr:rowOff>
    </xdr:from>
    <xdr:to>
      <xdr:col>18</xdr:col>
      <xdr:colOff>467265</xdr:colOff>
      <xdr:row>37</xdr:row>
      <xdr:rowOff>11981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35944</xdr:colOff>
      <xdr:row>3</xdr:row>
      <xdr:rowOff>23963</xdr:rowOff>
    </xdr:from>
    <xdr:to>
      <xdr:col>26</xdr:col>
      <xdr:colOff>35943</xdr:colOff>
      <xdr:row>17</xdr:row>
      <xdr:rowOff>35944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83869</xdr:colOff>
      <xdr:row>28</xdr:row>
      <xdr:rowOff>0</xdr:rowOff>
    </xdr:from>
    <xdr:to>
      <xdr:col>26</xdr:col>
      <xdr:colOff>83868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nchmarkTable" displayName="BenchmarkTable" ref="A4:H26">
  <tableColumns count="8">
    <tableColumn id="1" xr3:uid="{00000000-0010-0000-0000-000001000000}" name="Category"/>
    <tableColumn id="2" xr3:uid="{00000000-0010-0000-0000-000002000000}" name="Region"/>
    <tableColumn id="3" xr3:uid="{00000000-0010-0000-0000-000003000000}" name="Best Model"/>
    <tableColumn id="4" xr3:uid="{00000000-0010-0000-0000-000004000000}" name="Baseline WAPE"/>
    <tableColumn id="5" xr3:uid="{00000000-0010-0000-0000-000005000000}" name="Regression WAPE"/>
    <tableColumn id="6" xr3:uid="{00000000-0010-0000-0000-000006000000}" name="Baseline MAPE"/>
    <tableColumn id="7" xr3:uid="{00000000-0010-0000-0000-000007000000}" name="Regression MAPE"/>
    <tableColumn id="8" xr3:uid="{00000000-0010-0000-0000-000008000000}" name="Holdout Act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ecastTable" displayName="ForecastTable" ref="A4:H148">
  <tableColumns count="8">
    <tableColumn id="1" xr3:uid="{00000000-0010-0000-0100-000001000000}" name="Category"/>
    <tableColumn id="2" xr3:uid="{00000000-0010-0000-0100-000002000000}" name="Region"/>
    <tableColumn id="3" xr3:uid="{00000000-0010-0000-0100-000003000000}" name="Week Start"/>
    <tableColumn id="4" xr3:uid="{00000000-0010-0000-0100-000004000000}" name="Horizon Week"/>
    <tableColumn id="5" xr3:uid="{00000000-0010-0000-0100-000005000000}" name="Selected Model"/>
    <tableColumn id="6" xr3:uid="{00000000-0010-0000-0100-000006000000}" name="Forecast Units"/>
    <tableColumn id="7" xr3:uid="{00000000-0010-0000-0100-000007000000}" name="Sigma Weekly"/>
    <tableColumn id="8" xr3:uid="{00000000-0010-0000-0100-000008000000}" name="Servic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cementTable" displayName="PlacementTable" ref="A4:M28">
  <tableColumns count="13">
    <tableColumn id="1" xr3:uid="{00000000-0010-0000-0200-000001000000}" name="Category"/>
    <tableColumn id="2" xr3:uid="{00000000-0010-0000-0200-000002000000}" name="Demand Region"/>
    <tableColumn id="3" xr3:uid="{00000000-0010-0000-0200-000003000000}" name="Primary Node"/>
    <tableColumn id="4" xr3:uid="{00000000-0010-0000-0200-000004000000}" name="Backup Node"/>
    <tableColumn id="5" xr3:uid="{00000000-0010-0000-0200-000005000000}" name="Target Inventory Units"/>
    <tableColumn id="6" xr3:uid="{00000000-0010-0000-0200-000006000000}" name="Baseline Fill Rate"/>
    <tableColumn id="7" xr3:uid="{00000000-0010-0000-0200-000007000000}" name="Recommended Fill Rate"/>
    <tableColumn id="8" xr3:uid="{00000000-0010-0000-0200-000008000000}" name="Baseline Stockout Risk"/>
    <tableColumn id="9" xr3:uid="{00000000-0010-0000-0200-000009000000}" name="Recommended Stockout Risk"/>
    <tableColumn id="10" xr3:uid="{00000000-0010-0000-0200-00000A000000}" name="Baseline Transfer Cost"/>
    <tableColumn id="11" xr3:uid="{00000000-0010-0000-0200-00000B000000}" name="Recommended Transfer Cost"/>
    <tableColumn id="12" xr3:uid="{00000000-0010-0000-0200-00000C000000}" name="Baseline Lead Days"/>
    <tableColumn id="13" xr3:uid="{00000000-0010-0000-0200-00000D000000}" name="Recommended Lead Day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ventoryTable" displayName="InventoryTable" ref="A4:G34">
  <tableColumns count="7">
    <tableColumn id="1" xr3:uid="{00000000-0010-0000-0300-000001000000}" name="Warehouse Region"/>
    <tableColumn id="2" xr3:uid="{00000000-0010-0000-0300-000002000000}" name="Category"/>
    <tableColumn id="3" xr3:uid="{00000000-0010-0000-0300-000003000000}" name="On Hand Units"/>
    <tableColumn id="4" xr3:uid="{00000000-0010-0000-0300-000004000000}" name="Current Share"/>
    <tableColumn id="5" xr3:uid="{00000000-0010-0000-0300-000005000000}" name="Recommended Active Units"/>
    <tableColumn id="6" xr3:uid="{00000000-0010-0000-0300-000006000000}" name="Recommended Share"/>
    <tableColumn id="7" xr3:uid="{00000000-0010-0000-0300-000007000000}" name="Surplus vs Targ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piGlossaryTable" displayName="KpiGlossaryTable" ref="A4:C10">
  <tableColumns count="3">
    <tableColumn id="1" xr3:uid="{00000000-0010-0000-0400-000001000000}" name="KPI Name"/>
    <tableColumn id="2" xr3:uid="{00000000-0010-0000-0400-000002000000}" name="Formula or Logic"/>
    <tableColumn id="3" xr3:uid="{00000000-0010-0000-0400-000003000000}" name="Business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showGridLines="0" tabSelected="1" zoomScale="84" zoomScaleNormal="84" workbookViewId="0">
      <selection activeCell="A2" sqref="A2:H2"/>
    </sheetView>
  </sheetViews>
  <sheetFormatPr defaultRowHeight="14"/>
  <sheetData>
    <row r="1" spans="1:19" ht="23">
      <c r="A1" s="10" t="s">
        <v>0</v>
      </c>
      <c r="B1" s="11"/>
      <c r="C1" s="11"/>
      <c r="D1" s="11"/>
      <c r="E1" s="11"/>
      <c r="F1" s="11"/>
      <c r="G1" s="11"/>
      <c r="H1" s="11"/>
    </row>
    <row r="2" spans="1:19" ht="14.5">
      <c r="A2" s="12" t="s">
        <v>1</v>
      </c>
      <c r="B2" s="11"/>
      <c r="C2" s="11"/>
      <c r="D2" s="11"/>
      <c r="E2" s="11"/>
      <c r="F2" s="11"/>
      <c r="G2" s="11"/>
      <c r="H2" s="11"/>
      <c r="J2" t="s">
        <v>2</v>
      </c>
      <c r="K2" t="s">
        <v>3</v>
      </c>
      <c r="L2" t="s">
        <v>4</v>
      </c>
      <c r="M2" t="s">
        <v>5</v>
      </c>
      <c r="N2" t="s">
        <v>6</v>
      </c>
      <c r="R2" t="s">
        <v>7</v>
      </c>
      <c r="S2" t="s">
        <v>8</v>
      </c>
    </row>
    <row r="3" spans="1:19">
      <c r="J3" t="s">
        <v>9</v>
      </c>
      <c r="K3">
        <v>352.25</v>
      </c>
      <c r="L3">
        <v>372.08</v>
      </c>
      <c r="M3">
        <v>242.75</v>
      </c>
      <c r="N3">
        <v>410.33000000000004</v>
      </c>
      <c r="R3" t="s">
        <v>3</v>
      </c>
      <c r="S3">
        <v>1.1388</v>
      </c>
    </row>
    <row r="4" spans="1:19">
      <c r="A4" s="1" t="s">
        <v>10</v>
      </c>
      <c r="B4" s="1" t="s">
        <v>11</v>
      </c>
      <c r="D4" s="1" t="s">
        <v>10</v>
      </c>
      <c r="E4" s="1" t="s">
        <v>11</v>
      </c>
      <c r="J4" t="s">
        <v>12</v>
      </c>
      <c r="K4">
        <v>333.56</v>
      </c>
      <c r="L4">
        <v>329.16</v>
      </c>
      <c r="M4">
        <v>239.44</v>
      </c>
      <c r="N4">
        <v>456</v>
      </c>
      <c r="R4" t="s">
        <v>6</v>
      </c>
      <c r="S4">
        <v>0.99669999999999992</v>
      </c>
    </row>
    <row r="5" spans="1:19">
      <c r="A5" s="2" t="s">
        <v>13</v>
      </c>
      <c r="B5" s="3">
        <v>0.5464</v>
      </c>
      <c r="D5" s="2" t="s">
        <v>14</v>
      </c>
      <c r="E5" s="3">
        <v>0.80449999999999999</v>
      </c>
      <c r="J5" t="s">
        <v>15</v>
      </c>
      <c r="K5">
        <v>339.96</v>
      </c>
      <c r="L5">
        <v>315.83</v>
      </c>
      <c r="M5">
        <v>252.55</v>
      </c>
      <c r="N5">
        <v>434.29</v>
      </c>
      <c r="R5" t="s">
        <v>4</v>
      </c>
      <c r="S5">
        <v>0.91789999999999994</v>
      </c>
    </row>
    <row r="6" spans="1:19">
      <c r="A6" s="2" t="s">
        <v>16</v>
      </c>
      <c r="B6" s="3">
        <v>0.97799999999999998</v>
      </c>
      <c r="D6" s="2" t="s">
        <v>17</v>
      </c>
      <c r="E6" s="3">
        <v>0.57920000000000005</v>
      </c>
      <c r="J6" t="s">
        <v>18</v>
      </c>
      <c r="K6">
        <v>326.69</v>
      </c>
      <c r="L6">
        <v>346.03000000000003</v>
      </c>
      <c r="M6">
        <v>273.69</v>
      </c>
      <c r="N6">
        <v>454.28</v>
      </c>
      <c r="R6" t="s">
        <v>5</v>
      </c>
      <c r="S6">
        <v>0.69150000000000011</v>
      </c>
    </row>
    <row r="7" spans="1:19">
      <c r="A7" s="2" t="s">
        <v>19</v>
      </c>
      <c r="B7" s="3">
        <v>0</v>
      </c>
      <c r="D7" s="2" t="s">
        <v>20</v>
      </c>
      <c r="E7" s="5">
        <v>483.92</v>
      </c>
      <c r="J7" t="s">
        <v>21</v>
      </c>
      <c r="K7">
        <v>338.11</v>
      </c>
      <c r="L7">
        <v>450.03</v>
      </c>
      <c r="M7">
        <v>283.54000000000002</v>
      </c>
      <c r="N7">
        <v>441.66</v>
      </c>
    </row>
    <row r="8" spans="1:19">
      <c r="A8" s="2" t="s">
        <v>22</v>
      </c>
      <c r="B8" s="4">
        <v>1.7</v>
      </c>
      <c r="D8" s="2" t="s">
        <v>23</v>
      </c>
      <c r="E8" s="3">
        <v>0.66749999999999998</v>
      </c>
      <c r="J8" t="s">
        <v>24</v>
      </c>
      <c r="K8">
        <v>334.59</v>
      </c>
      <c r="L8">
        <v>437.32</v>
      </c>
      <c r="M8">
        <v>271.09000000000003</v>
      </c>
      <c r="N8">
        <v>459.73</v>
      </c>
    </row>
    <row r="11" spans="1:19" ht="28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30</v>
      </c>
    </row>
    <row r="12" spans="1:19">
      <c r="A12" t="s">
        <v>31</v>
      </c>
      <c r="B12" t="s">
        <v>3</v>
      </c>
      <c r="C12" t="s">
        <v>32</v>
      </c>
      <c r="D12" t="s">
        <v>6</v>
      </c>
      <c r="E12" s="3">
        <v>1</v>
      </c>
      <c r="F12" s="4">
        <v>1.5</v>
      </c>
    </row>
    <row r="13" spans="1:19">
      <c r="A13" t="s">
        <v>31</v>
      </c>
      <c r="B13" t="s">
        <v>5</v>
      </c>
      <c r="C13" t="s">
        <v>32</v>
      </c>
      <c r="D13" t="s">
        <v>4</v>
      </c>
      <c r="E13" s="3">
        <v>1</v>
      </c>
      <c r="F13" s="4">
        <v>1.5</v>
      </c>
    </row>
    <row r="14" spans="1:19">
      <c r="A14" t="s">
        <v>31</v>
      </c>
      <c r="B14" t="s">
        <v>6</v>
      </c>
      <c r="C14" t="s">
        <v>6</v>
      </c>
      <c r="D14" t="s">
        <v>4</v>
      </c>
      <c r="E14" s="3">
        <v>1</v>
      </c>
      <c r="F14" s="4">
        <v>1.5</v>
      </c>
    </row>
    <row r="15" spans="1:19">
      <c r="A15" t="s">
        <v>33</v>
      </c>
      <c r="B15" t="s">
        <v>3</v>
      </c>
      <c r="C15" t="s">
        <v>32</v>
      </c>
      <c r="D15" t="s">
        <v>6</v>
      </c>
      <c r="E15" s="3">
        <v>1</v>
      </c>
      <c r="F15" s="4">
        <v>1.5</v>
      </c>
    </row>
    <row r="16" spans="1:19">
      <c r="A16" t="s">
        <v>33</v>
      </c>
      <c r="B16" t="s">
        <v>4</v>
      </c>
      <c r="C16" t="s">
        <v>4</v>
      </c>
      <c r="D16" t="s">
        <v>3</v>
      </c>
      <c r="E16" s="3">
        <v>1</v>
      </c>
      <c r="F16" s="4">
        <v>2.5</v>
      </c>
    </row>
    <row r="17" spans="1:19">
      <c r="A17" t="s">
        <v>33</v>
      </c>
      <c r="B17" t="s">
        <v>6</v>
      </c>
      <c r="C17" t="s">
        <v>6</v>
      </c>
      <c r="D17" t="s">
        <v>4</v>
      </c>
      <c r="E17" s="3">
        <v>1</v>
      </c>
      <c r="F17" s="4">
        <v>1.5</v>
      </c>
    </row>
    <row r="20" spans="1:19">
      <c r="J20" t="s">
        <v>34</v>
      </c>
      <c r="K20" t="s">
        <v>35</v>
      </c>
      <c r="L20" t="s">
        <v>36</v>
      </c>
      <c r="R20" t="s">
        <v>25</v>
      </c>
      <c r="S20" t="s">
        <v>37</v>
      </c>
    </row>
    <row r="21" spans="1:19">
      <c r="J21" t="s">
        <v>38</v>
      </c>
      <c r="K21">
        <v>0.57920000000000005</v>
      </c>
      <c r="L21">
        <v>0.5464</v>
      </c>
      <c r="R21" t="s">
        <v>39</v>
      </c>
      <c r="S21">
        <v>145.37</v>
      </c>
    </row>
    <row r="22" spans="1:19">
      <c r="J22" t="s">
        <v>29</v>
      </c>
      <c r="K22">
        <v>0.80449999999999999</v>
      </c>
      <c r="L22">
        <v>0.97799999999999998</v>
      </c>
      <c r="R22" t="s">
        <v>40</v>
      </c>
      <c r="S22">
        <v>114.01999999999998</v>
      </c>
    </row>
    <row r="23" spans="1:19">
      <c r="J23" t="s">
        <v>41</v>
      </c>
      <c r="K23">
        <v>2.9999999999999997E-4</v>
      </c>
      <c r="L23">
        <v>0</v>
      </c>
      <c r="R23" t="s">
        <v>42</v>
      </c>
      <c r="S23">
        <v>83.63000000000001</v>
      </c>
    </row>
    <row r="24" spans="1:19">
      <c r="J24" t="s">
        <v>43</v>
      </c>
      <c r="K24">
        <v>483.92</v>
      </c>
      <c r="L24">
        <v>49.84</v>
      </c>
      <c r="R24" t="s">
        <v>33</v>
      </c>
      <c r="S24">
        <v>42.38</v>
      </c>
    </row>
    <row r="25" spans="1:19">
      <c r="J25" t="s">
        <v>44</v>
      </c>
      <c r="K25">
        <v>2.33</v>
      </c>
      <c r="L25">
        <v>1.7</v>
      </c>
      <c r="R25" t="s">
        <v>31</v>
      </c>
      <c r="S25">
        <v>28.410000000000004</v>
      </c>
    </row>
    <row r="26" spans="1:19">
      <c r="R26" t="s">
        <v>45</v>
      </c>
      <c r="S26">
        <v>20.270000000000003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zoomScale="53" zoomScaleNormal="53" workbookViewId="0">
      <selection activeCell="D33" sqref="D33"/>
    </sheetView>
  </sheetViews>
  <sheetFormatPr defaultRowHeight="14"/>
  <cols>
    <col min="10" max="10" width="14.1640625" bestFit="1" customWidth="1"/>
  </cols>
  <sheetData>
    <row r="1" spans="1:11" ht="23">
      <c r="A1" s="10" t="s">
        <v>46</v>
      </c>
      <c r="B1" s="11"/>
      <c r="C1" s="11"/>
      <c r="D1" s="11"/>
      <c r="E1" s="11"/>
      <c r="F1" s="11"/>
      <c r="G1" s="11"/>
      <c r="H1" s="11"/>
    </row>
    <row r="2" spans="1:11" ht="14.5">
      <c r="A2" s="12" t="s">
        <v>47</v>
      </c>
      <c r="B2" s="11"/>
      <c r="C2" s="11"/>
      <c r="D2" s="11"/>
      <c r="E2" s="11"/>
      <c r="F2" s="11"/>
      <c r="G2" s="11"/>
      <c r="H2" s="11"/>
    </row>
    <row r="4" spans="1:11" ht="42">
      <c r="A4" s="1" t="s">
        <v>25</v>
      </c>
      <c r="B4" s="1" t="s">
        <v>7</v>
      </c>
      <c r="C4" s="1" t="s">
        <v>48</v>
      </c>
      <c r="D4" s="1" t="s">
        <v>17</v>
      </c>
      <c r="E4" s="1" t="s">
        <v>49</v>
      </c>
      <c r="F4" s="1" t="s">
        <v>50</v>
      </c>
      <c r="G4" s="1" t="s">
        <v>51</v>
      </c>
      <c r="H4" s="1" t="s">
        <v>52</v>
      </c>
      <c r="J4" s="8" t="s">
        <v>53</v>
      </c>
      <c r="K4" s="8" t="s">
        <v>54</v>
      </c>
    </row>
    <row r="5" spans="1:11" ht="28">
      <c r="A5" s="6" t="s">
        <v>42</v>
      </c>
      <c r="B5" s="6" t="s">
        <v>3</v>
      </c>
      <c r="C5" s="6" t="s">
        <v>55</v>
      </c>
      <c r="D5" s="7">
        <v>0.41082802547770703</v>
      </c>
      <c r="E5" s="7">
        <v>0.51085558398873698</v>
      </c>
      <c r="F5" s="7">
        <v>0.47544078201767787</v>
      </c>
      <c r="G5" s="7">
        <v>0.42500489253146956</v>
      </c>
      <c r="H5" s="6">
        <v>314</v>
      </c>
      <c r="J5" t="s">
        <v>55</v>
      </c>
      <c r="K5">
        <v>17</v>
      </c>
    </row>
    <row r="6" spans="1:11" ht="28">
      <c r="A6" s="6" t="s">
        <v>33</v>
      </c>
      <c r="B6" s="6" t="s">
        <v>5</v>
      </c>
      <c r="C6" s="6" t="s">
        <v>55</v>
      </c>
      <c r="D6" s="7">
        <v>0.50686498855835238</v>
      </c>
      <c r="E6" s="7">
        <v>0.62358135903505485</v>
      </c>
      <c r="F6" s="7">
        <v>0.63144723699079497</v>
      </c>
      <c r="G6" s="7">
        <v>0.90571028600095305</v>
      </c>
      <c r="H6" s="6">
        <v>437</v>
      </c>
      <c r="J6" t="s">
        <v>56</v>
      </c>
      <c r="K6">
        <v>5</v>
      </c>
    </row>
    <row r="7" spans="1:11" ht="28">
      <c r="A7" s="6" t="s">
        <v>40</v>
      </c>
      <c r="B7" s="6" t="s">
        <v>3</v>
      </c>
      <c r="C7" s="6" t="s">
        <v>55</v>
      </c>
      <c r="D7" s="7">
        <v>0.27043269230769229</v>
      </c>
      <c r="E7" s="7">
        <v>0.79516870120082239</v>
      </c>
      <c r="F7" s="7">
        <v>0.29303889109461673</v>
      </c>
      <c r="G7" s="7">
        <v>1.0433526569418319</v>
      </c>
      <c r="H7" s="6">
        <v>208</v>
      </c>
    </row>
    <row r="8" spans="1:11" ht="28">
      <c r="A8" s="6" t="s">
        <v>42</v>
      </c>
      <c r="B8" s="6" t="s">
        <v>4</v>
      </c>
      <c r="C8" s="6" t="s">
        <v>55</v>
      </c>
      <c r="D8" s="7">
        <v>0.29084158415841582</v>
      </c>
      <c r="E8" s="7">
        <v>0.81728733816135102</v>
      </c>
      <c r="F8" s="7">
        <v>0.30667550839964636</v>
      </c>
      <c r="G8" s="7">
        <v>0.90210662086993454</v>
      </c>
      <c r="H8" s="6">
        <v>202</v>
      </c>
    </row>
    <row r="9" spans="1:11" ht="28">
      <c r="A9" s="6" t="s">
        <v>42</v>
      </c>
      <c r="B9" s="6" t="s">
        <v>6</v>
      </c>
      <c r="C9" s="6" t="s">
        <v>55</v>
      </c>
      <c r="D9" s="7">
        <v>0.31622516556291391</v>
      </c>
      <c r="E9" s="7">
        <v>1.0080436382176334</v>
      </c>
      <c r="F9" s="7">
        <v>0.2824049921876009</v>
      </c>
      <c r="G9" s="7">
        <v>1.2648131549845334</v>
      </c>
      <c r="H9" s="6">
        <v>302</v>
      </c>
    </row>
    <row r="10" spans="1:11" ht="28">
      <c r="A10" s="6" t="s">
        <v>33</v>
      </c>
      <c r="B10" s="6" t="s">
        <v>3</v>
      </c>
      <c r="C10" s="6" t="s">
        <v>55</v>
      </c>
      <c r="D10" s="7">
        <v>0.57318652849740936</v>
      </c>
      <c r="E10" s="7">
        <v>1.0297111770925846</v>
      </c>
      <c r="F10" s="7">
        <v>0.76227054158495977</v>
      </c>
      <c r="G10" s="7">
        <v>1.59486899444761</v>
      </c>
      <c r="H10" s="6">
        <v>386</v>
      </c>
    </row>
    <row r="11" spans="1:11" ht="28">
      <c r="A11" s="6" t="s">
        <v>40</v>
      </c>
      <c r="B11" s="6" t="s">
        <v>5</v>
      </c>
      <c r="C11" s="6" t="s">
        <v>55</v>
      </c>
      <c r="D11" s="7">
        <v>0.60470085470085466</v>
      </c>
      <c r="E11" s="7">
        <v>1.0652967483550839</v>
      </c>
      <c r="F11" s="7">
        <v>0.80072463768115953</v>
      </c>
      <c r="G11" s="7">
        <v>1.6616202037830352</v>
      </c>
      <c r="H11" s="6">
        <v>117</v>
      </c>
    </row>
    <row r="12" spans="1:11" ht="28">
      <c r="A12" s="6" t="s">
        <v>39</v>
      </c>
      <c r="B12" s="6" t="s">
        <v>5</v>
      </c>
      <c r="C12" s="6" t="s">
        <v>55</v>
      </c>
      <c r="D12" s="7">
        <v>0.80991735537190079</v>
      </c>
      <c r="E12" s="7">
        <v>1.218900844140705</v>
      </c>
      <c r="F12" s="7">
        <v>0.98287653640676953</v>
      </c>
      <c r="G12" s="7">
        <v>1.6570397076366106</v>
      </c>
      <c r="H12" s="6">
        <v>242</v>
      </c>
    </row>
    <row r="13" spans="1:11" ht="28">
      <c r="A13" s="6" t="s">
        <v>40</v>
      </c>
      <c r="B13" s="6" t="s">
        <v>6</v>
      </c>
      <c r="C13" s="6" t="s">
        <v>55</v>
      </c>
      <c r="D13" s="7">
        <v>0.5</v>
      </c>
      <c r="E13" s="7">
        <v>1.3708378128939571</v>
      </c>
      <c r="F13" s="7">
        <v>0.54579640075208169</v>
      </c>
      <c r="G13" s="7">
        <v>1.4495658292765929</v>
      </c>
      <c r="H13" s="6">
        <v>124</v>
      </c>
    </row>
    <row r="14" spans="1:11" ht="28">
      <c r="A14" s="6" t="s">
        <v>39</v>
      </c>
      <c r="B14" s="6" t="s">
        <v>4</v>
      </c>
      <c r="C14" s="6" t="s">
        <v>55</v>
      </c>
      <c r="D14" s="7">
        <v>0.53104026845637586</v>
      </c>
      <c r="E14" s="7">
        <v>1.6199327252637941</v>
      </c>
      <c r="F14" s="7">
        <v>0.73644818902196452</v>
      </c>
      <c r="G14" s="7">
        <v>1.8591473317411753</v>
      </c>
      <c r="H14" s="6">
        <v>298</v>
      </c>
    </row>
    <row r="15" spans="1:11" ht="28">
      <c r="A15" s="6" t="s">
        <v>40</v>
      </c>
      <c r="B15" s="6" t="s">
        <v>4</v>
      </c>
      <c r="C15" s="6" t="s">
        <v>55</v>
      </c>
      <c r="D15" s="7">
        <v>1.4259259259259258</v>
      </c>
      <c r="E15" s="7">
        <v>1.7926335296766212</v>
      </c>
      <c r="F15" s="7">
        <v>1.4259259259259258</v>
      </c>
      <c r="G15" s="7">
        <v>1.7926335296766212</v>
      </c>
      <c r="H15" s="6">
        <v>27</v>
      </c>
    </row>
    <row r="16" spans="1:11" ht="28">
      <c r="A16" s="6" t="s">
        <v>45</v>
      </c>
      <c r="B16" s="6" t="s">
        <v>5</v>
      </c>
      <c r="C16" s="6" t="s">
        <v>55</v>
      </c>
      <c r="D16" s="7">
        <v>0.97175141242937857</v>
      </c>
      <c r="E16" s="7">
        <v>1.8147180783363959</v>
      </c>
      <c r="F16" s="7">
        <v>1.5240519722936103</v>
      </c>
      <c r="G16" s="7">
        <v>3.2586482891497148</v>
      </c>
      <c r="H16" s="6">
        <v>354</v>
      </c>
    </row>
    <row r="17" spans="1:11" ht="28">
      <c r="A17" s="6" t="s">
        <v>39</v>
      </c>
      <c r="B17" s="6" t="s">
        <v>3</v>
      </c>
      <c r="C17" s="6" t="s">
        <v>55</v>
      </c>
      <c r="D17" s="7">
        <v>0.60550458715596334</v>
      </c>
      <c r="E17" s="7">
        <v>1.9949347078618094</v>
      </c>
      <c r="F17" s="7">
        <v>0.68558527787922785</v>
      </c>
      <c r="G17" s="7">
        <v>2.3643914933910275</v>
      </c>
      <c r="H17" s="6">
        <v>327</v>
      </c>
    </row>
    <row r="18" spans="1:11" ht="28">
      <c r="A18" s="6" t="s">
        <v>33</v>
      </c>
      <c r="B18" s="6" t="s">
        <v>6</v>
      </c>
      <c r="C18" s="6" t="s">
        <v>55</v>
      </c>
      <c r="D18" s="7">
        <v>0.48200757575757575</v>
      </c>
      <c r="E18" s="7">
        <v>2.0867649507860202</v>
      </c>
      <c r="F18" s="7">
        <v>0.75871951106293678</v>
      </c>
      <c r="G18" s="7">
        <v>3.5273613671994726</v>
      </c>
      <c r="H18" s="6">
        <v>528</v>
      </c>
    </row>
    <row r="19" spans="1:11" ht="28">
      <c r="A19" s="6" t="s">
        <v>45</v>
      </c>
      <c r="B19" s="6" t="s">
        <v>3</v>
      </c>
      <c r="C19" s="6" t="s">
        <v>55</v>
      </c>
      <c r="D19" s="7">
        <v>0.44770408163265307</v>
      </c>
      <c r="E19" s="7">
        <v>2.442457802093807</v>
      </c>
      <c r="F19" s="7">
        <v>0.59456584531754852</v>
      </c>
      <c r="G19" s="7">
        <v>2.6203370448048449</v>
      </c>
      <c r="H19" s="6">
        <v>196</v>
      </c>
    </row>
    <row r="20" spans="1:11" ht="28">
      <c r="A20" s="6" t="s">
        <v>42</v>
      </c>
      <c r="B20" s="6" t="s">
        <v>5</v>
      </c>
      <c r="C20" s="6" t="s">
        <v>55</v>
      </c>
      <c r="D20" s="7">
        <v>0.73795180722891562</v>
      </c>
      <c r="E20" s="7">
        <v>2.4463300292560199</v>
      </c>
      <c r="F20" s="7">
        <v>0.94994521484237371</v>
      </c>
      <c r="G20" s="7">
        <v>3.7626237349391416</v>
      </c>
      <c r="H20" s="6">
        <v>249</v>
      </c>
    </row>
    <row r="21" spans="1:11" ht="28">
      <c r="A21" s="6" t="s">
        <v>33</v>
      </c>
      <c r="B21" s="6" t="s">
        <v>4</v>
      </c>
      <c r="C21" s="6" t="s">
        <v>55</v>
      </c>
      <c r="D21" s="7">
        <v>0.61304347826086958</v>
      </c>
      <c r="E21" s="7">
        <v>3.0659275361893186</v>
      </c>
      <c r="F21" s="7">
        <v>1.151950742822287</v>
      </c>
      <c r="G21" s="7">
        <v>5.5325080268273563</v>
      </c>
      <c r="H21" s="6">
        <v>690</v>
      </c>
    </row>
    <row r="22" spans="1:11" ht="28">
      <c r="A22" s="6" t="s">
        <v>31</v>
      </c>
      <c r="B22" s="6" t="s">
        <v>4</v>
      </c>
      <c r="C22" s="6" t="s">
        <v>56</v>
      </c>
      <c r="D22" s="7">
        <v>3.888888888888889E-2</v>
      </c>
      <c r="E22" s="7">
        <v>7.8462488221848359E-3</v>
      </c>
      <c r="F22" s="7">
        <v>3.888888888888889E-2</v>
      </c>
      <c r="G22" s="7">
        <v>7.8462488221848359E-3</v>
      </c>
      <c r="H22" s="6">
        <v>45</v>
      </c>
    </row>
    <row r="23" spans="1:11" ht="28">
      <c r="A23" s="6" t="s">
        <v>39</v>
      </c>
      <c r="B23" s="6" t="s">
        <v>6</v>
      </c>
      <c r="C23" s="6" t="s">
        <v>56</v>
      </c>
      <c r="D23" s="7">
        <v>0.51023391812865493</v>
      </c>
      <c r="E23" s="7">
        <v>0.10278201002512029</v>
      </c>
      <c r="F23" s="7">
        <v>0.59008009894345859</v>
      </c>
      <c r="G23" s="7">
        <v>0.10312890780068258</v>
      </c>
      <c r="H23" s="6">
        <v>171</v>
      </c>
    </row>
    <row r="24" spans="1:11" ht="28">
      <c r="A24" s="6" t="s">
        <v>31</v>
      </c>
      <c r="B24" s="6" t="s">
        <v>6</v>
      </c>
      <c r="C24" s="6" t="s">
        <v>56</v>
      </c>
      <c r="D24" s="7">
        <v>0.35625000000000001</v>
      </c>
      <c r="E24" s="7">
        <v>0.29245703402898143</v>
      </c>
      <c r="F24" s="7">
        <v>0.35625000000000001</v>
      </c>
      <c r="G24" s="7">
        <v>0.29245703402898143</v>
      </c>
      <c r="H24" s="6">
        <v>80</v>
      </c>
      <c r="J24" s="8" t="s">
        <v>25</v>
      </c>
      <c r="K24" s="8" t="s">
        <v>57</v>
      </c>
    </row>
    <row r="25" spans="1:11" ht="28">
      <c r="A25" s="6" t="s">
        <v>45</v>
      </c>
      <c r="B25" s="6" t="s">
        <v>4</v>
      </c>
      <c r="C25" s="6" t="s">
        <v>56</v>
      </c>
      <c r="D25" s="7">
        <v>0.63343108504398826</v>
      </c>
      <c r="E25" s="7">
        <v>0.61592060796938053</v>
      </c>
      <c r="F25" s="7">
        <v>1.2655038958492908</v>
      </c>
      <c r="G25" s="7">
        <v>1.1339296003430095</v>
      </c>
      <c r="H25" s="6">
        <v>341</v>
      </c>
      <c r="J25" t="s">
        <v>40</v>
      </c>
      <c r="K25">
        <v>0.70026486823361811</v>
      </c>
    </row>
    <row r="26" spans="1:11" ht="28">
      <c r="A26" s="6" t="s">
        <v>31</v>
      </c>
      <c r="B26" s="6" t="s">
        <v>5</v>
      </c>
      <c r="C26" s="6" t="s">
        <v>56</v>
      </c>
      <c r="D26" s="7">
        <v>1.1057692307692308</v>
      </c>
      <c r="E26" s="7">
        <v>0.90284869259523171</v>
      </c>
      <c r="F26" s="7">
        <v>1.1057692307692308</v>
      </c>
      <c r="G26" s="7">
        <v>0.90284869259523171</v>
      </c>
      <c r="H26" s="6">
        <v>26</v>
      </c>
      <c r="J26" t="s">
        <v>45</v>
      </c>
      <c r="K26">
        <v>0.67845870067713732</v>
      </c>
    </row>
    <row r="27" spans="1:11">
      <c r="A27" s="6"/>
      <c r="B27" s="6"/>
      <c r="C27" s="6"/>
      <c r="D27" s="6"/>
      <c r="E27" s="6"/>
      <c r="F27" s="6"/>
      <c r="G27" s="6"/>
      <c r="H27" s="6"/>
      <c r="J27" t="s">
        <v>33</v>
      </c>
      <c r="K27">
        <v>0.54377564276855184</v>
      </c>
    </row>
    <row r="28" spans="1:11">
      <c r="A28" s="6"/>
      <c r="B28" s="6"/>
      <c r="C28" s="6"/>
      <c r="D28" s="6"/>
      <c r="E28" s="6"/>
      <c r="F28" s="6"/>
      <c r="G28" s="6"/>
      <c r="H28" s="6"/>
      <c r="J28" t="s">
        <v>39</v>
      </c>
      <c r="K28">
        <v>0.51231105525234</v>
      </c>
    </row>
    <row r="29" spans="1:11">
      <c r="J29" t="s">
        <v>42</v>
      </c>
      <c r="K29">
        <v>0.43896164560698803</v>
      </c>
    </row>
    <row r="30" spans="1:11">
      <c r="J30" t="s">
        <v>31</v>
      </c>
      <c r="K30">
        <v>0.40105065848213267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8"/>
  <sheetViews>
    <sheetView topLeftCell="A10" zoomScale="74" zoomScaleNormal="74" workbookViewId="0">
      <selection sqref="A1:H1"/>
    </sheetView>
  </sheetViews>
  <sheetFormatPr defaultRowHeight="14"/>
  <sheetData>
    <row r="1" spans="1:14" ht="23">
      <c r="A1" s="10" t="s">
        <v>58</v>
      </c>
      <c r="B1" s="11"/>
      <c r="C1" s="11"/>
      <c r="D1" s="11"/>
      <c r="E1" s="11"/>
      <c r="F1" s="11"/>
      <c r="G1" s="11"/>
      <c r="H1" s="11"/>
    </row>
    <row r="2" spans="1:14" ht="14.5">
      <c r="A2" s="12" t="s">
        <v>59</v>
      </c>
      <c r="B2" s="11"/>
      <c r="C2" s="11"/>
      <c r="D2" s="11"/>
      <c r="E2" s="11"/>
      <c r="F2" s="11"/>
      <c r="G2" s="11"/>
      <c r="H2" s="11"/>
    </row>
    <row r="4" spans="1:14" ht="28">
      <c r="A4" s="1" t="s">
        <v>25</v>
      </c>
      <c r="B4" s="1" t="s">
        <v>7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J4" s="8" t="s">
        <v>2</v>
      </c>
      <c r="K4" s="8" t="s">
        <v>3</v>
      </c>
      <c r="L4" s="8" t="s">
        <v>4</v>
      </c>
      <c r="M4" s="8" t="s">
        <v>5</v>
      </c>
      <c r="N4" s="8" t="s">
        <v>6</v>
      </c>
    </row>
    <row r="5" spans="1:14">
      <c r="A5" t="s">
        <v>31</v>
      </c>
      <c r="B5" t="s">
        <v>3</v>
      </c>
      <c r="C5" t="s">
        <v>9</v>
      </c>
      <c r="D5">
        <v>1</v>
      </c>
      <c r="E5" t="s">
        <v>55</v>
      </c>
      <c r="F5">
        <v>69.75</v>
      </c>
      <c r="G5">
        <v>47.11</v>
      </c>
      <c r="H5" s="3">
        <v>0.93100000000000005</v>
      </c>
      <c r="J5" t="s">
        <v>9</v>
      </c>
      <c r="K5">
        <v>352.25</v>
      </c>
      <c r="L5">
        <v>372.08</v>
      </c>
      <c r="M5">
        <v>242.75</v>
      </c>
      <c r="N5">
        <v>410.33000000000004</v>
      </c>
    </row>
    <row r="6" spans="1:14">
      <c r="A6" t="s">
        <v>31</v>
      </c>
      <c r="B6" t="s">
        <v>3</v>
      </c>
      <c r="C6" t="s">
        <v>12</v>
      </c>
      <c r="D6">
        <v>2</v>
      </c>
      <c r="E6" t="s">
        <v>55</v>
      </c>
      <c r="F6">
        <v>53.69</v>
      </c>
      <c r="G6">
        <v>47.11</v>
      </c>
      <c r="H6" s="3">
        <v>0.93100000000000005</v>
      </c>
      <c r="J6" t="s">
        <v>12</v>
      </c>
      <c r="K6">
        <v>333.56</v>
      </c>
      <c r="L6">
        <v>329.16</v>
      </c>
      <c r="M6">
        <v>239.44</v>
      </c>
      <c r="N6">
        <v>456</v>
      </c>
    </row>
    <row r="7" spans="1:14">
      <c r="A7" t="s">
        <v>31</v>
      </c>
      <c r="B7" t="s">
        <v>3</v>
      </c>
      <c r="C7" t="s">
        <v>15</v>
      </c>
      <c r="D7">
        <v>3</v>
      </c>
      <c r="E7" t="s">
        <v>55</v>
      </c>
      <c r="F7">
        <v>56.36</v>
      </c>
      <c r="G7">
        <v>47.11</v>
      </c>
      <c r="H7" s="3">
        <v>0.93100000000000005</v>
      </c>
      <c r="J7" t="s">
        <v>15</v>
      </c>
      <c r="K7">
        <v>339.96</v>
      </c>
      <c r="L7">
        <v>315.83</v>
      </c>
      <c r="M7">
        <v>252.55</v>
      </c>
      <c r="N7">
        <v>434.29</v>
      </c>
    </row>
    <row r="8" spans="1:14">
      <c r="A8" t="s">
        <v>31</v>
      </c>
      <c r="B8" t="s">
        <v>3</v>
      </c>
      <c r="C8" t="s">
        <v>18</v>
      </c>
      <c r="D8">
        <v>4</v>
      </c>
      <c r="E8" t="s">
        <v>55</v>
      </c>
      <c r="F8">
        <v>52.7</v>
      </c>
      <c r="G8">
        <v>47.11</v>
      </c>
      <c r="H8" s="3">
        <v>0.93100000000000005</v>
      </c>
      <c r="J8" t="s">
        <v>18</v>
      </c>
      <c r="K8">
        <v>326.69</v>
      </c>
      <c r="L8">
        <v>346.03000000000003</v>
      </c>
      <c r="M8">
        <v>273.69</v>
      </c>
      <c r="N8">
        <v>454.28</v>
      </c>
    </row>
    <row r="9" spans="1:14">
      <c r="A9" t="s">
        <v>31</v>
      </c>
      <c r="B9" t="s">
        <v>3</v>
      </c>
      <c r="C9" t="s">
        <v>21</v>
      </c>
      <c r="D9">
        <v>5</v>
      </c>
      <c r="E9" t="s">
        <v>55</v>
      </c>
      <c r="F9">
        <v>58.12</v>
      </c>
      <c r="G9">
        <v>47.11</v>
      </c>
      <c r="H9" s="3">
        <v>0.93100000000000005</v>
      </c>
      <c r="J9" t="s">
        <v>21</v>
      </c>
      <c r="K9">
        <v>338.11</v>
      </c>
      <c r="L9">
        <v>450.03</v>
      </c>
      <c r="M9">
        <v>283.54000000000002</v>
      </c>
      <c r="N9">
        <v>441.66</v>
      </c>
    </row>
    <row r="10" spans="1:14">
      <c r="A10" t="s">
        <v>31</v>
      </c>
      <c r="B10" t="s">
        <v>3</v>
      </c>
      <c r="C10" t="s">
        <v>24</v>
      </c>
      <c r="D10">
        <v>6</v>
      </c>
      <c r="E10" t="s">
        <v>55</v>
      </c>
      <c r="F10">
        <v>55.22</v>
      </c>
      <c r="G10">
        <v>47.11</v>
      </c>
      <c r="H10" s="3">
        <v>0.93100000000000005</v>
      </c>
      <c r="J10" t="s">
        <v>24</v>
      </c>
      <c r="K10">
        <v>334.59</v>
      </c>
      <c r="L10">
        <v>437.32</v>
      </c>
      <c r="M10">
        <v>271.09000000000003</v>
      </c>
      <c r="N10">
        <v>459.73</v>
      </c>
    </row>
    <row r="11" spans="1:14">
      <c r="A11" t="s">
        <v>31</v>
      </c>
      <c r="B11" t="s">
        <v>4</v>
      </c>
      <c r="C11" t="s">
        <v>9</v>
      </c>
      <c r="D11">
        <v>1</v>
      </c>
      <c r="E11" t="s">
        <v>56</v>
      </c>
      <c r="F11">
        <v>92.08</v>
      </c>
      <c r="G11">
        <v>1</v>
      </c>
      <c r="H11" s="3">
        <v>0.93100000000000005</v>
      </c>
    </row>
    <row r="12" spans="1:14">
      <c r="A12" t="s">
        <v>31</v>
      </c>
      <c r="B12" t="s">
        <v>4</v>
      </c>
      <c r="C12" t="s">
        <v>12</v>
      </c>
      <c r="D12">
        <v>2</v>
      </c>
      <c r="E12" t="s">
        <v>56</v>
      </c>
      <c r="F12">
        <v>83.67</v>
      </c>
      <c r="G12">
        <v>1</v>
      </c>
      <c r="H12" s="3">
        <v>0.93100000000000005</v>
      </c>
    </row>
    <row r="13" spans="1:14">
      <c r="A13" t="s">
        <v>31</v>
      </c>
      <c r="B13" t="s">
        <v>4</v>
      </c>
      <c r="C13" t="s">
        <v>15</v>
      </c>
      <c r="D13">
        <v>3</v>
      </c>
      <c r="E13" t="s">
        <v>56</v>
      </c>
      <c r="F13">
        <v>61.94</v>
      </c>
      <c r="G13">
        <v>1</v>
      </c>
      <c r="H13" s="3">
        <v>0.93100000000000005</v>
      </c>
    </row>
    <row r="14" spans="1:14">
      <c r="A14" t="s">
        <v>31</v>
      </c>
      <c r="B14" t="s">
        <v>4</v>
      </c>
      <c r="C14" t="s">
        <v>18</v>
      </c>
      <c r="D14">
        <v>4</v>
      </c>
      <c r="E14" t="s">
        <v>56</v>
      </c>
      <c r="F14">
        <v>72.37</v>
      </c>
      <c r="G14">
        <v>1</v>
      </c>
      <c r="H14" s="3">
        <v>0.93100000000000005</v>
      </c>
    </row>
    <row r="15" spans="1:14">
      <c r="A15" t="s">
        <v>31</v>
      </c>
      <c r="B15" t="s">
        <v>4</v>
      </c>
      <c r="C15" t="s">
        <v>21</v>
      </c>
      <c r="D15">
        <v>5</v>
      </c>
      <c r="E15" t="s">
        <v>56</v>
      </c>
      <c r="F15">
        <v>58.51</v>
      </c>
      <c r="G15">
        <v>1</v>
      </c>
      <c r="H15" s="3">
        <v>0.93100000000000005</v>
      </c>
    </row>
    <row r="16" spans="1:14">
      <c r="A16" t="s">
        <v>31</v>
      </c>
      <c r="B16" t="s">
        <v>4</v>
      </c>
      <c r="C16" t="s">
        <v>24</v>
      </c>
      <c r="D16">
        <v>6</v>
      </c>
      <c r="E16" t="s">
        <v>56</v>
      </c>
      <c r="F16">
        <v>67.849999999999994</v>
      </c>
      <c r="G16">
        <v>1</v>
      </c>
      <c r="H16" s="3">
        <v>0.93100000000000005</v>
      </c>
    </row>
    <row r="17" spans="1:8">
      <c r="A17" t="s">
        <v>31</v>
      </c>
      <c r="B17" t="s">
        <v>5</v>
      </c>
      <c r="C17" t="s">
        <v>9</v>
      </c>
      <c r="D17">
        <v>1</v>
      </c>
      <c r="E17" t="s">
        <v>56</v>
      </c>
      <c r="F17">
        <v>0</v>
      </c>
      <c r="G17">
        <v>23.47</v>
      </c>
      <c r="H17" s="3">
        <v>0.93100000000000005</v>
      </c>
    </row>
    <row r="18" spans="1:8">
      <c r="A18" t="s">
        <v>31</v>
      </c>
      <c r="B18" t="s">
        <v>5</v>
      </c>
      <c r="C18" t="s">
        <v>12</v>
      </c>
      <c r="D18">
        <v>2</v>
      </c>
      <c r="E18" t="s">
        <v>56</v>
      </c>
      <c r="F18">
        <v>0</v>
      </c>
      <c r="G18">
        <v>23.47</v>
      </c>
      <c r="H18" s="3">
        <v>0.93100000000000005</v>
      </c>
    </row>
    <row r="19" spans="1:8">
      <c r="A19" t="s">
        <v>31</v>
      </c>
      <c r="B19" t="s">
        <v>5</v>
      </c>
      <c r="C19" t="s">
        <v>15</v>
      </c>
      <c r="D19">
        <v>3</v>
      </c>
      <c r="E19" t="s">
        <v>56</v>
      </c>
      <c r="F19">
        <v>15.76</v>
      </c>
      <c r="G19">
        <v>23.47</v>
      </c>
      <c r="H19" s="3">
        <v>0.93100000000000005</v>
      </c>
    </row>
    <row r="20" spans="1:8">
      <c r="A20" t="s">
        <v>31</v>
      </c>
      <c r="B20" t="s">
        <v>5</v>
      </c>
      <c r="C20" t="s">
        <v>18</v>
      </c>
      <c r="D20">
        <v>4</v>
      </c>
      <c r="E20" t="s">
        <v>56</v>
      </c>
      <c r="F20">
        <v>33.94</v>
      </c>
      <c r="G20">
        <v>23.47</v>
      </c>
      <c r="H20" s="3">
        <v>0.93100000000000005</v>
      </c>
    </row>
    <row r="21" spans="1:8">
      <c r="A21" t="s">
        <v>31</v>
      </c>
      <c r="B21" t="s">
        <v>5</v>
      </c>
      <c r="C21" t="s">
        <v>21</v>
      </c>
      <c r="D21">
        <v>5</v>
      </c>
      <c r="E21" t="s">
        <v>56</v>
      </c>
      <c r="F21">
        <v>43.86</v>
      </c>
      <c r="G21">
        <v>23.47</v>
      </c>
      <c r="H21" s="3">
        <v>0.93100000000000005</v>
      </c>
    </row>
    <row r="22" spans="1:8">
      <c r="A22" t="s">
        <v>31</v>
      </c>
      <c r="B22" t="s">
        <v>5</v>
      </c>
      <c r="C22" t="s">
        <v>24</v>
      </c>
      <c r="D22">
        <v>6</v>
      </c>
      <c r="E22" t="s">
        <v>56</v>
      </c>
      <c r="F22">
        <v>32.17</v>
      </c>
      <c r="G22">
        <v>23.47</v>
      </c>
      <c r="H22" s="3">
        <v>0.93100000000000005</v>
      </c>
    </row>
    <row r="23" spans="1:8">
      <c r="A23" t="s">
        <v>31</v>
      </c>
      <c r="B23" t="s">
        <v>6</v>
      </c>
      <c r="C23" t="s">
        <v>9</v>
      </c>
      <c r="D23">
        <v>1</v>
      </c>
      <c r="E23" t="s">
        <v>56</v>
      </c>
      <c r="F23">
        <v>0</v>
      </c>
      <c r="G23">
        <v>23.4</v>
      </c>
      <c r="H23" s="3">
        <v>0.93100000000000005</v>
      </c>
    </row>
    <row r="24" spans="1:8">
      <c r="A24" t="s">
        <v>31</v>
      </c>
      <c r="B24" t="s">
        <v>6</v>
      </c>
      <c r="C24" t="s">
        <v>12</v>
      </c>
      <c r="D24">
        <v>2</v>
      </c>
      <c r="E24" t="s">
        <v>56</v>
      </c>
      <c r="F24">
        <v>0</v>
      </c>
      <c r="G24">
        <v>23.4</v>
      </c>
      <c r="H24" s="3">
        <v>0.93100000000000005</v>
      </c>
    </row>
    <row r="25" spans="1:8">
      <c r="A25" t="s">
        <v>31</v>
      </c>
      <c r="B25" t="s">
        <v>6</v>
      </c>
      <c r="C25" t="s">
        <v>15</v>
      </c>
      <c r="D25">
        <v>3</v>
      </c>
      <c r="E25" t="s">
        <v>56</v>
      </c>
      <c r="F25">
        <v>0</v>
      </c>
      <c r="G25">
        <v>23.4</v>
      </c>
      <c r="H25" s="3">
        <v>0.93100000000000005</v>
      </c>
    </row>
    <row r="26" spans="1:8">
      <c r="A26" t="s">
        <v>31</v>
      </c>
      <c r="B26" t="s">
        <v>6</v>
      </c>
      <c r="C26" t="s">
        <v>18</v>
      </c>
      <c r="D26">
        <v>4</v>
      </c>
      <c r="E26" t="s">
        <v>56</v>
      </c>
      <c r="F26">
        <v>0</v>
      </c>
      <c r="G26">
        <v>23.4</v>
      </c>
      <c r="H26" s="3">
        <v>0.93100000000000005</v>
      </c>
    </row>
    <row r="27" spans="1:8">
      <c r="A27" t="s">
        <v>31</v>
      </c>
      <c r="B27" t="s">
        <v>6</v>
      </c>
      <c r="C27" t="s">
        <v>21</v>
      </c>
      <c r="D27">
        <v>5</v>
      </c>
      <c r="E27" t="s">
        <v>56</v>
      </c>
      <c r="F27">
        <v>39.090000000000003</v>
      </c>
      <c r="G27">
        <v>23.4</v>
      </c>
      <c r="H27" s="3">
        <v>0.93100000000000005</v>
      </c>
    </row>
    <row r="28" spans="1:8">
      <c r="A28" t="s">
        <v>31</v>
      </c>
      <c r="B28" t="s">
        <v>6</v>
      </c>
      <c r="C28" t="s">
        <v>24</v>
      </c>
      <c r="D28">
        <v>6</v>
      </c>
      <c r="E28" t="s">
        <v>56</v>
      </c>
      <c r="F28">
        <v>30.9</v>
      </c>
      <c r="G28">
        <v>23.4</v>
      </c>
      <c r="H28" s="3">
        <v>0.93100000000000005</v>
      </c>
    </row>
    <row r="29" spans="1:8">
      <c r="A29" t="s">
        <v>33</v>
      </c>
      <c r="B29" t="s">
        <v>3</v>
      </c>
      <c r="C29" t="s">
        <v>9</v>
      </c>
      <c r="D29">
        <v>1</v>
      </c>
      <c r="E29" t="s">
        <v>55</v>
      </c>
      <c r="F29">
        <v>57</v>
      </c>
      <c r="G29">
        <v>44.25</v>
      </c>
      <c r="H29" s="3">
        <v>0.96230000000000004</v>
      </c>
    </row>
    <row r="30" spans="1:8">
      <c r="A30" t="s">
        <v>33</v>
      </c>
      <c r="B30" t="s">
        <v>3</v>
      </c>
      <c r="C30" t="s">
        <v>12</v>
      </c>
      <c r="D30">
        <v>2</v>
      </c>
      <c r="E30" t="s">
        <v>55</v>
      </c>
      <c r="F30">
        <v>53</v>
      </c>
      <c r="G30">
        <v>44.25</v>
      </c>
      <c r="H30" s="3">
        <v>0.96230000000000004</v>
      </c>
    </row>
    <row r="31" spans="1:8">
      <c r="A31" t="s">
        <v>33</v>
      </c>
      <c r="B31" t="s">
        <v>3</v>
      </c>
      <c r="C31" t="s">
        <v>15</v>
      </c>
      <c r="D31">
        <v>3</v>
      </c>
      <c r="E31" t="s">
        <v>55</v>
      </c>
      <c r="F31">
        <v>54.25</v>
      </c>
      <c r="G31">
        <v>44.25</v>
      </c>
      <c r="H31" s="3">
        <v>0.96230000000000004</v>
      </c>
    </row>
    <row r="32" spans="1:8">
      <c r="A32" t="s">
        <v>33</v>
      </c>
      <c r="B32" t="s">
        <v>3</v>
      </c>
      <c r="C32" t="s">
        <v>18</v>
      </c>
      <c r="D32">
        <v>4</v>
      </c>
      <c r="E32" t="s">
        <v>55</v>
      </c>
      <c r="F32">
        <v>50.31</v>
      </c>
      <c r="G32">
        <v>44.25</v>
      </c>
      <c r="H32" s="3">
        <v>0.96230000000000004</v>
      </c>
    </row>
    <row r="33" spans="1:8">
      <c r="A33" t="s">
        <v>33</v>
      </c>
      <c r="B33" t="s">
        <v>3</v>
      </c>
      <c r="C33" t="s">
        <v>21</v>
      </c>
      <c r="D33">
        <v>5</v>
      </c>
      <c r="E33" t="s">
        <v>55</v>
      </c>
      <c r="F33">
        <v>53.64</v>
      </c>
      <c r="G33">
        <v>44.25</v>
      </c>
      <c r="H33" s="3">
        <v>0.96230000000000004</v>
      </c>
    </row>
    <row r="34" spans="1:8">
      <c r="A34" t="s">
        <v>33</v>
      </c>
      <c r="B34" t="s">
        <v>3</v>
      </c>
      <c r="C34" t="s">
        <v>24</v>
      </c>
      <c r="D34">
        <v>6</v>
      </c>
      <c r="E34" t="s">
        <v>55</v>
      </c>
      <c r="F34">
        <v>52.8</v>
      </c>
      <c r="G34">
        <v>44.25</v>
      </c>
      <c r="H34" s="3">
        <v>0.96230000000000004</v>
      </c>
    </row>
    <row r="35" spans="1:8">
      <c r="A35" t="s">
        <v>33</v>
      </c>
      <c r="B35" t="s">
        <v>4</v>
      </c>
      <c r="C35" t="s">
        <v>9</v>
      </c>
      <c r="D35">
        <v>1</v>
      </c>
      <c r="E35" t="s">
        <v>55</v>
      </c>
      <c r="F35">
        <v>67.25</v>
      </c>
      <c r="G35">
        <v>57.37</v>
      </c>
      <c r="H35" s="3">
        <v>0.96340000000000003</v>
      </c>
    </row>
    <row r="36" spans="1:8">
      <c r="A36" t="s">
        <v>33</v>
      </c>
      <c r="B36" t="s">
        <v>4</v>
      </c>
      <c r="C36" t="s">
        <v>12</v>
      </c>
      <c r="D36">
        <v>2</v>
      </c>
      <c r="E36" t="s">
        <v>55</v>
      </c>
      <c r="F36">
        <v>46.81</v>
      </c>
      <c r="G36">
        <v>57.37</v>
      </c>
      <c r="H36" s="3">
        <v>0.96340000000000003</v>
      </c>
    </row>
    <row r="37" spans="1:8">
      <c r="A37" t="s">
        <v>33</v>
      </c>
      <c r="B37" t="s">
        <v>4</v>
      </c>
      <c r="C37" t="s">
        <v>15</v>
      </c>
      <c r="D37">
        <v>3</v>
      </c>
      <c r="E37" t="s">
        <v>55</v>
      </c>
      <c r="F37">
        <v>46.52</v>
      </c>
      <c r="G37">
        <v>57.37</v>
      </c>
      <c r="H37" s="3">
        <v>0.96340000000000003</v>
      </c>
    </row>
    <row r="38" spans="1:8">
      <c r="A38" t="s">
        <v>33</v>
      </c>
      <c r="B38" t="s">
        <v>4</v>
      </c>
      <c r="C38" t="s">
        <v>18</v>
      </c>
      <c r="D38">
        <v>4</v>
      </c>
      <c r="E38" t="s">
        <v>55</v>
      </c>
      <c r="F38">
        <v>49.14</v>
      </c>
      <c r="G38">
        <v>57.37</v>
      </c>
      <c r="H38" s="3">
        <v>0.96340000000000003</v>
      </c>
    </row>
    <row r="39" spans="1:8">
      <c r="A39" t="s">
        <v>33</v>
      </c>
      <c r="B39" t="s">
        <v>4</v>
      </c>
      <c r="C39" t="s">
        <v>21</v>
      </c>
      <c r="D39">
        <v>5</v>
      </c>
      <c r="E39" t="s">
        <v>55</v>
      </c>
      <c r="F39">
        <v>52.43</v>
      </c>
      <c r="G39">
        <v>57.37</v>
      </c>
      <c r="H39" s="3">
        <v>0.96340000000000003</v>
      </c>
    </row>
    <row r="40" spans="1:8">
      <c r="A40" t="s">
        <v>33</v>
      </c>
      <c r="B40" t="s">
        <v>4</v>
      </c>
      <c r="C40" t="s">
        <v>24</v>
      </c>
      <c r="D40">
        <v>6</v>
      </c>
      <c r="E40" t="s">
        <v>55</v>
      </c>
      <c r="F40">
        <v>48.73</v>
      </c>
      <c r="G40">
        <v>57.37</v>
      </c>
      <c r="H40" s="3">
        <v>0.96340000000000003</v>
      </c>
    </row>
    <row r="41" spans="1:8">
      <c r="A41" t="s">
        <v>33</v>
      </c>
      <c r="B41" t="s">
        <v>5</v>
      </c>
      <c r="C41" t="s">
        <v>9</v>
      </c>
      <c r="D41">
        <v>1</v>
      </c>
      <c r="E41" t="s">
        <v>55</v>
      </c>
      <c r="F41">
        <v>55.5</v>
      </c>
      <c r="G41">
        <v>31.64</v>
      </c>
      <c r="H41" s="3">
        <v>0.96319999999999995</v>
      </c>
    </row>
    <row r="42" spans="1:8">
      <c r="A42" t="s">
        <v>33</v>
      </c>
      <c r="B42" t="s">
        <v>5</v>
      </c>
      <c r="C42" t="s">
        <v>12</v>
      </c>
      <c r="D42">
        <v>2</v>
      </c>
      <c r="E42" t="s">
        <v>55</v>
      </c>
      <c r="F42">
        <v>49.38</v>
      </c>
      <c r="G42">
        <v>31.64</v>
      </c>
      <c r="H42" s="3">
        <v>0.96319999999999995</v>
      </c>
    </row>
    <row r="43" spans="1:8">
      <c r="A43" t="s">
        <v>33</v>
      </c>
      <c r="B43" t="s">
        <v>5</v>
      </c>
      <c r="C43" t="s">
        <v>15</v>
      </c>
      <c r="D43">
        <v>3</v>
      </c>
      <c r="E43" t="s">
        <v>55</v>
      </c>
      <c r="F43">
        <v>53.47</v>
      </c>
      <c r="G43">
        <v>31.64</v>
      </c>
      <c r="H43" s="3">
        <v>0.96319999999999995</v>
      </c>
    </row>
    <row r="44" spans="1:8">
      <c r="A44" t="s">
        <v>33</v>
      </c>
      <c r="B44" t="s">
        <v>5</v>
      </c>
      <c r="C44" t="s">
        <v>18</v>
      </c>
      <c r="D44">
        <v>4</v>
      </c>
      <c r="E44" t="s">
        <v>55</v>
      </c>
      <c r="F44">
        <v>58.84</v>
      </c>
      <c r="G44">
        <v>31.64</v>
      </c>
      <c r="H44" s="3">
        <v>0.96319999999999995</v>
      </c>
    </row>
    <row r="45" spans="1:8">
      <c r="A45" t="s">
        <v>33</v>
      </c>
      <c r="B45" t="s">
        <v>5</v>
      </c>
      <c r="C45" t="s">
        <v>21</v>
      </c>
      <c r="D45">
        <v>5</v>
      </c>
      <c r="E45" t="s">
        <v>55</v>
      </c>
      <c r="F45">
        <v>54.29</v>
      </c>
      <c r="G45">
        <v>31.64</v>
      </c>
      <c r="H45" s="3">
        <v>0.96319999999999995</v>
      </c>
    </row>
    <row r="46" spans="1:8">
      <c r="A46" t="s">
        <v>33</v>
      </c>
      <c r="B46" t="s">
        <v>5</v>
      </c>
      <c r="C46" t="s">
        <v>24</v>
      </c>
      <c r="D46">
        <v>6</v>
      </c>
      <c r="E46" t="s">
        <v>55</v>
      </c>
      <c r="F46">
        <v>53.99</v>
      </c>
      <c r="G46">
        <v>31.64</v>
      </c>
      <c r="H46" s="3">
        <v>0.96319999999999995</v>
      </c>
    </row>
    <row r="47" spans="1:8">
      <c r="A47" t="s">
        <v>33</v>
      </c>
      <c r="B47" t="s">
        <v>6</v>
      </c>
      <c r="C47" t="s">
        <v>9</v>
      </c>
      <c r="D47">
        <v>1</v>
      </c>
      <c r="E47" t="s">
        <v>55</v>
      </c>
      <c r="F47">
        <v>40.25</v>
      </c>
      <c r="G47">
        <v>44.58</v>
      </c>
      <c r="H47" s="3">
        <v>0.96260000000000001</v>
      </c>
    </row>
    <row r="48" spans="1:8">
      <c r="A48" t="s">
        <v>33</v>
      </c>
      <c r="B48" t="s">
        <v>6</v>
      </c>
      <c r="C48" t="s">
        <v>12</v>
      </c>
      <c r="D48">
        <v>2</v>
      </c>
      <c r="E48" t="s">
        <v>55</v>
      </c>
      <c r="F48">
        <v>38.31</v>
      </c>
      <c r="G48">
        <v>44.58</v>
      </c>
      <c r="H48" s="3">
        <v>0.96260000000000001</v>
      </c>
    </row>
    <row r="49" spans="1:8">
      <c r="A49" t="s">
        <v>33</v>
      </c>
      <c r="B49" t="s">
        <v>6</v>
      </c>
      <c r="C49" t="s">
        <v>15</v>
      </c>
      <c r="D49">
        <v>3</v>
      </c>
      <c r="E49" t="s">
        <v>55</v>
      </c>
      <c r="F49">
        <v>39.89</v>
      </c>
      <c r="G49">
        <v>44.58</v>
      </c>
      <c r="H49" s="3">
        <v>0.96260000000000001</v>
      </c>
    </row>
    <row r="50" spans="1:8">
      <c r="A50" t="s">
        <v>33</v>
      </c>
      <c r="B50" t="s">
        <v>6</v>
      </c>
      <c r="C50" t="s">
        <v>18</v>
      </c>
      <c r="D50">
        <v>4</v>
      </c>
      <c r="E50" t="s">
        <v>55</v>
      </c>
      <c r="F50">
        <v>41.86</v>
      </c>
      <c r="G50">
        <v>44.58</v>
      </c>
      <c r="H50" s="3">
        <v>0.96260000000000001</v>
      </c>
    </row>
    <row r="51" spans="1:8">
      <c r="A51" t="s">
        <v>33</v>
      </c>
      <c r="B51" t="s">
        <v>6</v>
      </c>
      <c r="C51" t="s">
        <v>21</v>
      </c>
      <c r="D51">
        <v>5</v>
      </c>
      <c r="E51" t="s">
        <v>55</v>
      </c>
      <c r="F51">
        <v>40.08</v>
      </c>
      <c r="G51">
        <v>44.58</v>
      </c>
      <c r="H51" s="3">
        <v>0.96260000000000001</v>
      </c>
    </row>
    <row r="52" spans="1:8">
      <c r="A52" t="s">
        <v>33</v>
      </c>
      <c r="B52" t="s">
        <v>6</v>
      </c>
      <c r="C52" t="s">
        <v>24</v>
      </c>
      <c r="D52">
        <v>6</v>
      </c>
      <c r="E52" t="s">
        <v>55</v>
      </c>
      <c r="F52">
        <v>40.04</v>
      </c>
      <c r="G52">
        <v>44.58</v>
      </c>
      <c r="H52" s="3">
        <v>0.96260000000000001</v>
      </c>
    </row>
    <row r="53" spans="1:8">
      <c r="A53" t="s">
        <v>40</v>
      </c>
      <c r="B53" t="s">
        <v>3</v>
      </c>
      <c r="C53" t="s">
        <v>9</v>
      </c>
      <c r="D53">
        <v>1</v>
      </c>
      <c r="E53" t="s">
        <v>55</v>
      </c>
      <c r="F53">
        <v>64.5</v>
      </c>
      <c r="G53">
        <v>18.75</v>
      </c>
      <c r="H53" s="3">
        <v>0.96489999999999998</v>
      </c>
    </row>
    <row r="54" spans="1:8">
      <c r="A54" t="s">
        <v>40</v>
      </c>
      <c r="B54" t="s">
        <v>3</v>
      </c>
      <c r="C54" t="s">
        <v>12</v>
      </c>
      <c r="D54">
        <v>2</v>
      </c>
      <c r="E54" t="s">
        <v>55</v>
      </c>
      <c r="F54">
        <v>68.12</v>
      </c>
      <c r="G54">
        <v>18.75</v>
      </c>
      <c r="H54" s="3">
        <v>0.96489999999999998</v>
      </c>
    </row>
    <row r="55" spans="1:8">
      <c r="A55" t="s">
        <v>40</v>
      </c>
      <c r="B55" t="s">
        <v>3</v>
      </c>
      <c r="C55" t="s">
        <v>15</v>
      </c>
      <c r="D55">
        <v>3</v>
      </c>
      <c r="E55" t="s">
        <v>55</v>
      </c>
      <c r="F55">
        <v>62.41</v>
      </c>
      <c r="G55">
        <v>18.75</v>
      </c>
      <c r="H55" s="3">
        <v>0.96489999999999998</v>
      </c>
    </row>
    <row r="56" spans="1:8">
      <c r="A56" t="s">
        <v>40</v>
      </c>
      <c r="B56" t="s">
        <v>3</v>
      </c>
      <c r="C56" t="s">
        <v>18</v>
      </c>
      <c r="D56">
        <v>4</v>
      </c>
      <c r="E56" t="s">
        <v>55</v>
      </c>
      <c r="F56">
        <v>60.26</v>
      </c>
      <c r="G56">
        <v>18.75</v>
      </c>
      <c r="H56" s="3">
        <v>0.96489999999999998</v>
      </c>
    </row>
    <row r="57" spans="1:8">
      <c r="A57" t="s">
        <v>40</v>
      </c>
      <c r="B57" t="s">
        <v>3</v>
      </c>
      <c r="C57" t="s">
        <v>21</v>
      </c>
      <c r="D57">
        <v>5</v>
      </c>
      <c r="E57" t="s">
        <v>55</v>
      </c>
      <c r="F57">
        <v>63.82</v>
      </c>
      <c r="G57">
        <v>18.75</v>
      </c>
      <c r="H57" s="3">
        <v>0.96489999999999998</v>
      </c>
    </row>
    <row r="58" spans="1:8">
      <c r="A58" t="s">
        <v>40</v>
      </c>
      <c r="B58" t="s">
        <v>3</v>
      </c>
      <c r="C58" t="s">
        <v>24</v>
      </c>
      <c r="D58">
        <v>6</v>
      </c>
      <c r="E58" t="s">
        <v>55</v>
      </c>
      <c r="F58">
        <v>63.65</v>
      </c>
      <c r="G58">
        <v>18.75</v>
      </c>
      <c r="H58" s="3">
        <v>0.96489999999999998</v>
      </c>
    </row>
    <row r="59" spans="1:8">
      <c r="A59" t="s">
        <v>40</v>
      </c>
      <c r="B59" t="s">
        <v>4</v>
      </c>
      <c r="C59" t="s">
        <v>9</v>
      </c>
      <c r="D59">
        <v>1</v>
      </c>
      <c r="E59" t="s">
        <v>55</v>
      </c>
      <c r="F59">
        <v>57.25</v>
      </c>
      <c r="G59">
        <v>38.5</v>
      </c>
      <c r="H59" s="3">
        <v>0.96399999999999997</v>
      </c>
    </row>
    <row r="60" spans="1:8">
      <c r="A60" t="s">
        <v>40</v>
      </c>
      <c r="B60" t="s">
        <v>4</v>
      </c>
      <c r="C60" t="s">
        <v>12</v>
      </c>
      <c r="D60">
        <v>2</v>
      </c>
      <c r="E60" t="s">
        <v>55</v>
      </c>
      <c r="F60">
        <v>52.81</v>
      </c>
      <c r="G60">
        <v>38.5</v>
      </c>
      <c r="H60" s="3">
        <v>0.96399999999999997</v>
      </c>
    </row>
    <row r="61" spans="1:8">
      <c r="A61" t="s">
        <v>40</v>
      </c>
      <c r="B61" t="s">
        <v>4</v>
      </c>
      <c r="C61" t="s">
        <v>15</v>
      </c>
      <c r="D61">
        <v>3</v>
      </c>
      <c r="E61" t="s">
        <v>55</v>
      </c>
      <c r="F61">
        <v>48.27</v>
      </c>
      <c r="G61">
        <v>38.5</v>
      </c>
      <c r="H61" s="3">
        <v>0.96399999999999997</v>
      </c>
    </row>
    <row r="62" spans="1:8">
      <c r="A62" t="s">
        <v>40</v>
      </c>
      <c r="B62" t="s">
        <v>4</v>
      </c>
      <c r="C62" t="s">
        <v>18</v>
      </c>
      <c r="D62">
        <v>4</v>
      </c>
      <c r="E62" t="s">
        <v>55</v>
      </c>
      <c r="F62">
        <v>46.33</v>
      </c>
      <c r="G62">
        <v>38.5</v>
      </c>
      <c r="H62" s="3">
        <v>0.96399999999999997</v>
      </c>
    </row>
    <row r="63" spans="1:8">
      <c r="A63" t="s">
        <v>40</v>
      </c>
      <c r="B63" t="s">
        <v>4</v>
      </c>
      <c r="C63" t="s">
        <v>21</v>
      </c>
      <c r="D63">
        <v>5</v>
      </c>
      <c r="E63" t="s">
        <v>55</v>
      </c>
      <c r="F63">
        <v>51.17</v>
      </c>
      <c r="G63">
        <v>38.5</v>
      </c>
      <c r="H63" s="3">
        <v>0.96399999999999997</v>
      </c>
    </row>
    <row r="64" spans="1:8">
      <c r="A64" t="s">
        <v>40</v>
      </c>
      <c r="B64" t="s">
        <v>4</v>
      </c>
      <c r="C64" t="s">
        <v>24</v>
      </c>
      <c r="D64">
        <v>6</v>
      </c>
      <c r="E64" t="s">
        <v>55</v>
      </c>
      <c r="F64">
        <v>49.64</v>
      </c>
      <c r="G64">
        <v>38.5</v>
      </c>
      <c r="H64" s="3">
        <v>0.96399999999999997</v>
      </c>
    </row>
    <row r="65" spans="1:8">
      <c r="A65" t="s">
        <v>40</v>
      </c>
      <c r="B65" t="s">
        <v>5</v>
      </c>
      <c r="C65" t="s">
        <v>9</v>
      </c>
      <c r="D65">
        <v>1</v>
      </c>
      <c r="E65" t="s">
        <v>55</v>
      </c>
      <c r="F65">
        <v>39.75</v>
      </c>
      <c r="G65">
        <v>23.58</v>
      </c>
      <c r="H65" s="3">
        <v>0.9637</v>
      </c>
    </row>
    <row r="66" spans="1:8">
      <c r="A66" t="s">
        <v>40</v>
      </c>
      <c r="B66" t="s">
        <v>5</v>
      </c>
      <c r="C66" t="s">
        <v>12</v>
      </c>
      <c r="D66">
        <v>2</v>
      </c>
      <c r="E66" t="s">
        <v>55</v>
      </c>
      <c r="F66">
        <v>39.19</v>
      </c>
      <c r="G66">
        <v>23.58</v>
      </c>
      <c r="H66" s="3">
        <v>0.9637</v>
      </c>
    </row>
    <row r="67" spans="1:8">
      <c r="A67" t="s">
        <v>40</v>
      </c>
      <c r="B67" t="s">
        <v>5</v>
      </c>
      <c r="C67" t="s">
        <v>15</v>
      </c>
      <c r="D67">
        <v>3</v>
      </c>
      <c r="E67" t="s">
        <v>55</v>
      </c>
      <c r="F67">
        <v>31.73</v>
      </c>
      <c r="G67">
        <v>23.58</v>
      </c>
      <c r="H67" s="3">
        <v>0.9637</v>
      </c>
    </row>
    <row r="68" spans="1:8">
      <c r="A68" t="s">
        <v>40</v>
      </c>
      <c r="B68" t="s">
        <v>5</v>
      </c>
      <c r="C68" t="s">
        <v>18</v>
      </c>
      <c r="D68">
        <v>4</v>
      </c>
      <c r="E68" t="s">
        <v>55</v>
      </c>
      <c r="F68">
        <v>33.42</v>
      </c>
      <c r="G68">
        <v>23.58</v>
      </c>
      <c r="H68" s="3">
        <v>0.9637</v>
      </c>
    </row>
    <row r="69" spans="1:8">
      <c r="A69" t="s">
        <v>40</v>
      </c>
      <c r="B69" t="s">
        <v>5</v>
      </c>
      <c r="C69" t="s">
        <v>21</v>
      </c>
      <c r="D69">
        <v>5</v>
      </c>
      <c r="E69" t="s">
        <v>55</v>
      </c>
      <c r="F69">
        <v>36.020000000000003</v>
      </c>
      <c r="G69">
        <v>23.58</v>
      </c>
      <c r="H69" s="3">
        <v>0.9637</v>
      </c>
    </row>
    <row r="70" spans="1:8">
      <c r="A70" t="s">
        <v>40</v>
      </c>
      <c r="B70" t="s">
        <v>5</v>
      </c>
      <c r="C70" t="s">
        <v>24</v>
      </c>
      <c r="D70">
        <v>6</v>
      </c>
      <c r="E70" t="s">
        <v>55</v>
      </c>
      <c r="F70">
        <v>35.090000000000003</v>
      </c>
      <c r="G70">
        <v>23.58</v>
      </c>
      <c r="H70" s="3">
        <v>0.9637</v>
      </c>
    </row>
    <row r="71" spans="1:8">
      <c r="A71" t="s">
        <v>40</v>
      </c>
      <c r="B71" t="s">
        <v>6</v>
      </c>
      <c r="C71" t="s">
        <v>9</v>
      </c>
      <c r="D71">
        <v>1</v>
      </c>
      <c r="E71" t="s">
        <v>55</v>
      </c>
      <c r="F71">
        <v>72.75</v>
      </c>
      <c r="G71">
        <v>31</v>
      </c>
      <c r="H71" s="3">
        <v>0.96460000000000001</v>
      </c>
    </row>
    <row r="72" spans="1:8">
      <c r="A72" t="s">
        <v>40</v>
      </c>
      <c r="B72" t="s">
        <v>6</v>
      </c>
      <c r="C72" t="s">
        <v>12</v>
      </c>
      <c r="D72">
        <v>2</v>
      </c>
      <c r="E72" t="s">
        <v>55</v>
      </c>
      <c r="F72">
        <v>79.94</v>
      </c>
      <c r="G72">
        <v>31</v>
      </c>
      <c r="H72" s="3">
        <v>0.96460000000000001</v>
      </c>
    </row>
    <row r="73" spans="1:8">
      <c r="A73" t="s">
        <v>40</v>
      </c>
      <c r="B73" t="s">
        <v>6</v>
      </c>
      <c r="C73" t="s">
        <v>15</v>
      </c>
      <c r="D73">
        <v>3</v>
      </c>
      <c r="E73" t="s">
        <v>55</v>
      </c>
      <c r="F73">
        <v>69.17</v>
      </c>
      <c r="G73">
        <v>31</v>
      </c>
      <c r="H73" s="3">
        <v>0.96460000000000001</v>
      </c>
    </row>
    <row r="74" spans="1:8">
      <c r="A74" t="s">
        <v>40</v>
      </c>
      <c r="B74" t="s">
        <v>6</v>
      </c>
      <c r="C74" t="s">
        <v>18</v>
      </c>
      <c r="D74">
        <v>4</v>
      </c>
      <c r="E74" t="s">
        <v>55</v>
      </c>
      <c r="F74">
        <v>73.709999999999994</v>
      </c>
      <c r="G74">
        <v>31</v>
      </c>
      <c r="H74" s="3">
        <v>0.96460000000000001</v>
      </c>
    </row>
    <row r="75" spans="1:8">
      <c r="A75" t="s">
        <v>40</v>
      </c>
      <c r="B75" t="s">
        <v>6</v>
      </c>
      <c r="C75" t="s">
        <v>21</v>
      </c>
      <c r="D75">
        <v>5</v>
      </c>
      <c r="E75" t="s">
        <v>55</v>
      </c>
      <c r="F75">
        <v>73.89</v>
      </c>
      <c r="G75">
        <v>31</v>
      </c>
      <c r="H75" s="3">
        <v>0.96460000000000001</v>
      </c>
    </row>
    <row r="76" spans="1:8">
      <c r="A76" t="s">
        <v>40</v>
      </c>
      <c r="B76" t="s">
        <v>6</v>
      </c>
      <c r="C76" t="s">
        <v>24</v>
      </c>
      <c r="D76">
        <v>6</v>
      </c>
      <c r="E76" t="s">
        <v>55</v>
      </c>
      <c r="F76">
        <v>74.180000000000007</v>
      </c>
      <c r="G76">
        <v>31</v>
      </c>
      <c r="H76" s="3">
        <v>0.96460000000000001</v>
      </c>
    </row>
    <row r="77" spans="1:8">
      <c r="A77" t="s">
        <v>39</v>
      </c>
      <c r="B77" t="s">
        <v>3</v>
      </c>
      <c r="C77" t="s">
        <v>9</v>
      </c>
      <c r="D77">
        <v>1</v>
      </c>
      <c r="E77" t="s">
        <v>55</v>
      </c>
      <c r="F77">
        <v>46.25</v>
      </c>
      <c r="G77">
        <v>33</v>
      </c>
      <c r="H77" s="3">
        <v>0.9456</v>
      </c>
    </row>
    <row r="78" spans="1:8">
      <c r="A78" t="s">
        <v>39</v>
      </c>
      <c r="B78" t="s">
        <v>3</v>
      </c>
      <c r="C78" t="s">
        <v>12</v>
      </c>
      <c r="D78">
        <v>2</v>
      </c>
      <c r="E78" t="s">
        <v>55</v>
      </c>
      <c r="F78">
        <v>50.06</v>
      </c>
      <c r="G78">
        <v>33</v>
      </c>
      <c r="H78" s="3">
        <v>0.9456</v>
      </c>
    </row>
    <row r="79" spans="1:8">
      <c r="A79" t="s">
        <v>39</v>
      </c>
      <c r="B79" t="s">
        <v>3</v>
      </c>
      <c r="C79" t="s">
        <v>15</v>
      </c>
      <c r="D79">
        <v>3</v>
      </c>
      <c r="E79" t="s">
        <v>55</v>
      </c>
      <c r="F79">
        <v>46.83</v>
      </c>
      <c r="G79">
        <v>33</v>
      </c>
      <c r="H79" s="3">
        <v>0.9456</v>
      </c>
    </row>
    <row r="80" spans="1:8">
      <c r="A80" t="s">
        <v>39</v>
      </c>
      <c r="B80" t="s">
        <v>3</v>
      </c>
      <c r="C80" t="s">
        <v>18</v>
      </c>
      <c r="D80">
        <v>4</v>
      </c>
      <c r="E80" t="s">
        <v>55</v>
      </c>
      <c r="F80">
        <v>48.54</v>
      </c>
      <c r="G80">
        <v>33</v>
      </c>
      <c r="H80" s="3">
        <v>0.9456</v>
      </c>
    </row>
    <row r="81" spans="1:8">
      <c r="A81" t="s">
        <v>39</v>
      </c>
      <c r="B81" t="s">
        <v>3</v>
      </c>
      <c r="C81" t="s">
        <v>21</v>
      </c>
      <c r="D81">
        <v>5</v>
      </c>
      <c r="E81" t="s">
        <v>55</v>
      </c>
      <c r="F81">
        <v>47.92</v>
      </c>
      <c r="G81">
        <v>33</v>
      </c>
      <c r="H81" s="3">
        <v>0.9456</v>
      </c>
    </row>
    <row r="82" spans="1:8">
      <c r="A82" t="s">
        <v>39</v>
      </c>
      <c r="B82" t="s">
        <v>3</v>
      </c>
      <c r="C82" t="s">
        <v>24</v>
      </c>
      <c r="D82">
        <v>6</v>
      </c>
      <c r="E82" t="s">
        <v>55</v>
      </c>
      <c r="F82">
        <v>48.34</v>
      </c>
      <c r="G82">
        <v>33</v>
      </c>
      <c r="H82" s="3">
        <v>0.9456</v>
      </c>
    </row>
    <row r="83" spans="1:8">
      <c r="A83" t="s">
        <v>39</v>
      </c>
      <c r="B83" t="s">
        <v>4</v>
      </c>
      <c r="C83" t="s">
        <v>9</v>
      </c>
      <c r="D83">
        <v>1</v>
      </c>
      <c r="E83" t="s">
        <v>55</v>
      </c>
      <c r="F83">
        <v>74.5</v>
      </c>
      <c r="G83">
        <v>39.56</v>
      </c>
      <c r="H83" s="3">
        <v>0.94389999999999996</v>
      </c>
    </row>
    <row r="84" spans="1:8">
      <c r="A84" t="s">
        <v>39</v>
      </c>
      <c r="B84" t="s">
        <v>4</v>
      </c>
      <c r="C84" t="s">
        <v>12</v>
      </c>
      <c r="D84">
        <v>2</v>
      </c>
      <c r="E84" t="s">
        <v>55</v>
      </c>
      <c r="F84">
        <v>75.12</v>
      </c>
      <c r="G84">
        <v>39.56</v>
      </c>
      <c r="H84" s="3">
        <v>0.94389999999999996</v>
      </c>
    </row>
    <row r="85" spans="1:8">
      <c r="A85" t="s">
        <v>39</v>
      </c>
      <c r="B85" t="s">
        <v>4</v>
      </c>
      <c r="C85" t="s">
        <v>15</v>
      </c>
      <c r="D85">
        <v>3</v>
      </c>
      <c r="E85" t="s">
        <v>55</v>
      </c>
      <c r="F85">
        <v>83.16</v>
      </c>
      <c r="G85">
        <v>39.56</v>
      </c>
      <c r="H85" s="3">
        <v>0.94389999999999996</v>
      </c>
    </row>
    <row r="86" spans="1:8">
      <c r="A86" t="s">
        <v>39</v>
      </c>
      <c r="B86" t="s">
        <v>4</v>
      </c>
      <c r="C86" t="s">
        <v>18</v>
      </c>
      <c r="D86">
        <v>4</v>
      </c>
      <c r="E86" t="s">
        <v>55</v>
      </c>
      <c r="F86">
        <v>77.2</v>
      </c>
      <c r="G86">
        <v>39.56</v>
      </c>
      <c r="H86" s="3">
        <v>0.94389999999999996</v>
      </c>
    </row>
    <row r="87" spans="1:8">
      <c r="A87" t="s">
        <v>39</v>
      </c>
      <c r="B87" t="s">
        <v>4</v>
      </c>
      <c r="C87" t="s">
        <v>21</v>
      </c>
      <c r="D87">
        <v>5</v>
      </c>
      <c r="E87" t="s">
        <v>55</v>
      </c>
      <c r="F87">
        <v>77.489999999999995</v>
      </c>
      <c r="G87">
        <v>39.56</v>
      </c>
      <c r="H87" s="3">
        <v>0.94389999999999996</v>
      </c>
    </row>
    <row r="88" spans="1:8">
      <c r="A88" t="s">
        <v>39</v>
      </c>
      <c r="B88" t="s">
        <v>4</v>
      </c>
      <c r="C88" t="s">
        <v>24</v>
      </c>
      <c r="D88">
        <v>6</v>
      </c>
      <c r="E88" t="s">
        <v>55</v>
      </c>
      <c r="F88">
        <v>78.239999999999995</v>
      </c>
      <c r="G88">
        <v>39.56</v>
      </c>
      <c r="H88" s="3">
        <v>0.94389999999999996</v>
      </c>
    </row>
    <row r="89" spans="1:8">
      <c r="A89" t="s">
        <v>39</v>
      </c>
      <c r="B89" t="s">
        <v>5</v>
      </c>
      <c r="C89" t="s">
        <v>9</v>
      </c>
      <c r="D89">
        <v>1</v>
      </c>
      <c r="E89" t="s">
        <v>55</v>
      </c>
      <c r="F89">
        <v>46</v>
      </c>
      <c r="G89">
        <v>39.200000000000003</v>
      </c>
      <c r="H89" s="3">
        <v>0.94399999999999995</v>
      </c>
    </row>
    <row r="90" spans="1:8">
      <c r="A90" t="s">
        <v>39</v>
      </c>
      <c r="B90" t="s">
        <v>5</v>
      </c>
      <c r="C90" t="s">
        <v>12</v>
      </c>
      <c r="D90">
        <v>2</v>
      </c>
      <c r="E90" t="s">
        <v>55</v>
      </c>
      <c r="F90">
        <v>39.75</v>
      </c>
      <c r="G90">
        <v>39.200000000000003</v>
      </c>
      <c r="H90" s="3">
        <v>0.94399999999999995</v>
      </c>
    </row>
    <row r="91" spans="1:8">
      <c r="A91" t="s">
        <v>39</v>
      </c>
      <c r="B91" t="s">
        <v>5</v>
      </c>
      <c r="C91" t="s">
        <v>15</v>
      </c>
      <c r="D91">
        <v>3</v>
      </c>
      <c r="E91" t="s">
        <v>55</v>
      </c>
      <c r="F91">
        <v>39.94</v>
      </c>
      <c r="G91">
        <v>39.200000000000003</v>
      </c>
      <c r="H91" s="3">
        <v>0.94399999999999995</v>
      </c>
    </row>
    <row r="92" spans="1:8">
      <c r="A92" t="s">
        <v>39</v>
      </c>
      <c r="B92" t="s">
        <v>5</v>
      </c>
      <c r="C92" t="s">
        <v>18</v>
      </c>
      <c r="D92">
        <v>4</v>
      </c>
      <c r="E92" t="s">
        <v>55</v>
      </c>
      <c r="F92">
        <v>43.42</v>
      </c>
      <c r="G92">
        <v>39.200000000000003</v>
      </c>
      <c r="H92" s="3">
        <v>0.94399999999999995</v>
      </c>
    </row>
    <row r="93" spans="1:8">
      <c r="A93" t="s">
        <v>39</v>
      </c>
      <c r="B93" t="s">
        <v>5</v>
      </c>
      <c r="C93" t="s">
        <v>21</v>
      </c>
      <c r="D93">
        <v>5</v>
      </c>
      <c r="E93" t="s">
        <v>55</v>
      </c>
      <c r="F93">
        <v>42.28</v>
      </c>
      <c r="G93">
        <v>39.200000000000003</v>
      </c>
      <c r="H93" s="3">
        <v>0.94399999999999995</v>
      </c>
    </row>
    <row r="94" spans="1:8">
      <c r="A94" t="s">
        <v>39</v>
      </c>
      <c r="B94" t="s">
        <v>5</v>
      </c>
      <c r="C94" t="s">
        <v>24</v>
      </c>
      <c r="D94">
        <v>6</v>
      </c>
      <c r="E94" t="s">
        <v>55</v>
      </c>
      <c r="F94">
        <v>41.35</v>
      </c>
      <c r="G94">
        <v>39.200000000000003</v>
      </c>
      <c r="H94" s="3">
        <v>0.94399999999999995</v>
      </c>
    </row>
    <row r="95" spans="1:8">
      <c r="A95" t="s">
        <v>39</v>
      </c>
      <c r="B95" t="s">
        <v>6</v>
      </c>
      <c r="C95" t="s">
        <v>9</v>
      </c>
      <c r="D95">
        <v>1</v>
      </c>
      <c r="E95" t="s">
        <v>56</v>
      </c>
      <c r="F95">
        <v>201.83</v>
      </c>
      <c r="G95">
        <v>15.16</v>
      </c>
      <c r="H95" s="3">
        <v>0.94479999999999997</v>
      </c>
    </row>
    <row r="96" spans="1:8">
      <c r="A96" t="s">
        <v>39</v>
      </c>
      <c r="B96" t="s">
        <v>6</v>
      </c>
      <c r="C96" t="s">
        <v>12</v>
      </c>
      <c r="D96">
        <v>2</v>
      </c>
      <c r="E96" t="s">
        <v>56</v>
      </c>
      <c r="F96">
        <v>246.62</v>
      </c>
      <c r="G96">
        <v>15.16</v>
      </c>
      <c r="H96" s="3">
        <v>0.94479999999999997</v>
      </c>
    </row>
    <row r="97" spans="1:8">
      <c r="A97" t="s">
        <v>39</v>
      </c>
      <c r="B97" t="s">
        <v>6</v>
      </c>
      <c r="C97" t="s">
        <v>15</v>
      </c>
      <c r="D97">
        <v>3</v>
      </c>
      <c r="E97" t="s">
        <v>56</v>
      </c>
      <c r="F97">
        <v>231.33</v>
      </c>
      <c r="G97">
        <v>15.16</v>
      </c>
      <c r="H97" s="3">
        <v>0.94479999999999997</v>
      </c>
    </row>
    <row r="98" spans="1:8">
      <c r="A98" t="s">
        <v>39</v>
      </c>
      <c r="B98" t="s">
        <v>6</v>
      </c>
      <c r="C98" t="s">
        <v>18</v>
      </c>
      <c r="D98">
        <v>4</v>
      </c>
      <c r="E98" t="s">
        <v>56</v>
      </c>
      <c r="F98">
        <v>247.08</v>
      </c>
      <c r="G98">
        <v>15.16</v>
      </c>
      <c r="H98" s="3">
        <v>0.94479999999999997</v>
      </c>
    </row>
    <row r="99" spans="1:8">
      <c r="A99" t="s">
        <v>39</v>
      </c>
      <c r="B99" t="s">
        <v>6</v>
      </c>
      <c r="C99" t="s">
        <v>21</v>
      </c>
      <c r="D99">
        <v>5</v>
      </c>
      <c r="E99" t="s">
        <v>56</v>
      </c>
      <c r="F99">
        <v>195.56</v>
      </c>
      <c r="G99">
        <v>15.16</v>
      </c>
      <c r="H99" s="3">
        <v>0.94479999999999997</v>
      </c>
    </row>
    <row r="100" spans="1:8">
      <c r="A100" t="s">
        <v>39</v>
      </c>
      <c r="B100" t="s">
        <v>6</v>
      </c>
      <c r="C100" t="s">
        <v>24</v>
      </c>
      <c r="D100">
        <v>6</v>
      </c>
      <c r="E100" t="s">
        <v>56</v>
      </c>
      <c r="F100">
        <v>222.18</v>
      </c>
      <c r="G100">
        <v>15.16</v>
      </c>
      <c r="H100" s="3">
        <v>0.94479999999999997</v>
      </c>
    </row>
    <row r="101" spans="1:8">
      <c r="A101" t="s">
        <v>42</v>
      </c>
      <c r="B101" t="s">
        <v>3</v>
      </c>
      <c r="C101" t="s">
        <v>9</v>
      </c>
      <c r="D101">
        <v>1</v>
      </c>
      <c r="E101" t="s">
        <v>55</v>
      </c>
      <c r="F101">
        <v>65.75</v>
      </c>
      <c r="G101">
        <v>25.8</v>
      </c>
      <c r="H101" s="3">
        <v>0.98270000000000002</v>
      </c>
    </row>
    <row r="102" spans="1:8">
      <c r="A102" t="s">
        <v>42</v>
      </c>
      <c r="B102" t="s">
        <v>3</v>
      </c>
      <c r="C102" t="s">
        <v>12</v>
      </c>
      <c r="D102">
        <v>2</v>
      </c>
      <c r="E102" t="s">
        <v>55</v>
      </c>
      <c r="F102">
        <v>59.44</v>
      </c>
      <c r="G102">
        <v>25.8</v>
      </c>
      <c r="H102" s="3">
        <v>0.98270000000000002</v>
      </c>
    </row>
    <row r="103" spans="1:8">
      <c r="A103" t="s">
        <v>42</v>
      </c>
      <c r="B103" t="s">
        <v>3</v>
      </c>
      <c r="C103" t="s">
        <v>15</v>
      </c>
      <c r="D103">
        <v>3</v>
      </c>
      <c r="E103" t="s">
        <v>55</v>
      </c>
      <c r="F103">
        <v>65.55</v>
      </c>
      <c r="G103">
        <v>25.8</v>
      </c>
      <c r="H103" s="3">
        <v>0.98270000000000002</v>
      </c>
    </row>
    <row r="104" spans="1:8">
      <c r="A104" t="s">
        <v>42</v>
      </c>
      <c r="B104" t="s">
        <v>3</v>
      </c>
      <c r="C104" t="s">
        <v>18</v>
      </c>
      <c r="D104">
        <v>4</v>
      </c>
      <c r="E104" t="s">
        <v>55</v>
      </c>
      <c r="F104">
        <v>61.18</v>
      </c>
      <c r="G104">
        <v>25.8</v>
      </c>
      <c r="H104" s="3">
        <v>0.98270000000000002</v>
      </c>
    </row>
    <row r="105" spans="1:8">
      <c r="A105" t="s">
        <v>42</v>
      </c>
      <c r="B105" t="s">
        <v>3</v>
      </c>
      <c r="C105" t="s">
        <v>21</v>
      </c>
      <c r="D105">
        <v>5</v>
      </c>
      <c r="E105" t="s">
        <v>55</v>
      </c>
      <c r="F105">
        <v>62.98</v>
      </c>
      <c r="G105">
        <v>25.8</v>
      </c>
      <c r="H105" s="3">
        <v>0.98270000000000002</v>
      </c>
    </row>
    <row r="106" spans="1:8">
      <c r="A106" t="s">
        <v>42</v>
      </c>
      <c r="B106" t="s">
        <v>3</v>
      </c>
      <c r="C106" t="s">
        <v>24</v>
      </c>
      <c r="D106">
        <v>6</v>
      </c>
      <c r="E106" t="s">
        <v>55</v>
      </c>
      <c r="F106">
        <v>62.29</v>
      </c>
      <c r="G106">
        <v>25.8</v>
      </c>
      <c r="H106" s="3">
        <v>0.98270000000000002</v>
      </c>
    </row>
    <row r="107" spans="1:8">
      <c r="A107" t="s">
        <v>42</v>
      </c>
      <c r="B107" t="s">
        <v>4</v>
      </c>
      <c r="C107" t="s">
        <v>9</v>
      </c>
      <c r="D107">
        <v>1</v>
      </c>
      <c r="E107" t="s">
        <v>55</v>
      </c>
      <c r="F107">
        <v>81</v>
      </c>
      <c r="G107">
        <v>19.579999999999998</v>
      </c>
      <c r="H107" s="3">
        <v>0.98250000000000004</v>
      </c>
    </row>
    <row r="108" spans="1:8">
      <c r="A108" t="s">
        <v>42</v>
      </c>
      <c r="B108" t="s">
        <v>4</v>
      </c>
      <c r="C108" t="s">
        <v>12</v>
      </c>
      <c r="D108">
        <v>2</v>
      </c>
      <c r="E108" t="s">
        <v>55</v>
      </c>
      <c r="F108">
        <v>70.75</v>
      </c>
      <c r="G108">
        <v>19.579999999999998</v>
      </c>
      <c r="H108" s="3">
        <v>0.98250000000000004</v>
      </c>
    </row>
    <row r="109" spans="1:8">
      <c r="A109" t="s">
        <v>42</v>
      </c>
      <c r="B109" t="s">
        <v>4</v>
      </c>
      <c r="C109" t="s">
        <v>15</v>
      </c>
      <c r="D109">
        <v>3</v>
      </c>
      <c r="E109" t="s">
        <v>55</v>
      </c>
      <c r="F109">
        <v>75.94</v>
      </c>
      <c r="G109">
        <v>19.579999999999998</v>
      </c>
      <c r="H109" s="3">
        <v>0.98250000000000004</v>
      </c>
    </row>
    <row r="110" spans="1:8">
      <c r="A110" t="s">
        <v>42</v>
      </c>
      <c r="B110" t="s">
        <v>4</v>
      </c>
      <c r="C110" t="s">
        <v>18</v>
      </c>
      <c r="D110">
        <v>4</v>
      </c>
      <c r="E110" t="s">
        <v>55</v>
      </c>
      <c r="F110">
        <v>73.17</v>
      </c>
      <c r="G110">
        <v>19.579999999999998</v>
      </c>
      <c r="H110" s="3">
        <v>0.98250000000000004</v>
      </c>
    </row>
    <row r="111" spans="1:8">
      <c r="A111" t="s">
        <v>42</v>
      </c>
      <c r="B111" t="s">
        <v>4</v>
      </c>
      <c r="C111" t="s">
        <v>21</v>
      </c>
      <c r="D111">
        <v>5</v>
      </c>
      <c r="E111" t="s">
        <v>55</v>
      </c>
      <c r="F111">
        <v>75.209999999999994</v>
      </c>
      <c r="G111">
        <v>19.579999999999998</v>
      </c>
      <c r="H111" s="3">
        <v>0.98250000000000004</v>
      </c>
    </row>
    <row r="112" spans="1:8">
      <c r="A112" t="s">
        <v>42</v>
      </c>
      <c r="B112" t="s">
        <v>4</v>
      </c>
      <c r="C112" t="s">
        <v>24</v>
      </c>
      <c r="D112">
        <v>6</v>
      </c>
      <c r="E112" t="s">
        <v>55</v>
      </c>
      <c r="F112">
        <v>73.77</v>
      </c>
      <c r="G112">
        <v>19.579999999999998</v>
      </c>
      <c r="H112" s="3">
        <v>0.98250000000000004</v>
      </c>
    </row>
    <row r="113" spans="1:8">
      <c r="A113" t="s">
        <v>42</v>
      </c>
      <c r="B113" t="s">
        <v>5</v>
      </c>
      <c r="C113" t="s">
        <v>9</v>
      </c>
      <c r="D113">
        <v>1</v>
      </c>
      <c r="E113" t="s">
        <v>55</v>
      </c>
      <c r="F113">
        <v>62.25</v>
      </c>
      <c r="G113">
        <v>45.94</v>
      </c>
      <c r="H113" s="3">
        <v>0.98250000000000004</v>
      </c>
    </row>
    <row r="114" spans="1:8">
      <c r="A114" t="s">
        <v>42</v>
      </c>
      <c r="B114" t="s">
        <v>5</v>
      </c>
      <c r="C114" t="s">
        <v>12</v>
      </c>
      <c r="D114">
        <v>2</v>
      </c>
      <c r="E114" t="s">
        <v>55</v>
      </c>
      <c r="F114">
        <v>71.56</v>
      </c>
      <c r="G114">
        <v>45.94</v>
      </c>
      <c r="H114" s="3">
        <v>0.98250000000000004</v>
      </c>
    </row>
    <row r="115" spans="1:8">
      <c r="A115" t="s">
        <v>42</v>
      </c>
      <c r="B115" t="s">
        <v>5</v>
      </c>
      <c r="C115" t="s">
        <v>15</v>
      </c>
      <c r="D115">
        <v>3</v>
      </c>
      <c r="E115" t="s">
        <v>55</v>
      </c>
      <c r="F115">
        <v>68.45</v>
      </c>
      <c r="G115">
        <v>45.94</v>
      </c>
      <c r="H115" s="3">
        <v>0.98250000000000004</v>
      </c>
    </row>
    <row r="116" spans="1:8">
      <c r="A116" t="s">
        <v>42</v>
      </c>
      <c r="B116" t="s">
        <v>5</v>
      </c>
      <c r="C116" t="s">
        <v>18</v>
      </c>
      <c r="D116">
        <v>4</v>
      </c>
      <c r="E116" t="s">
        <v>55</v>
      </c>
      <c r="F116">
        <v>58.32</v>
      </c>
      <c r="G116">
        <v>45.94</v>
      </c>
      <c r="H116" s="3">
        <v>0.98250000000000004</v>
      </c>
    </row>
    <row r="117" spans="1:8">
      <c r="A117" t="s">
        <v>42</v>
      </c>
      <c r="B117" t="s">
        <v>5</v>
      </c>
      <c r="C117" t="s">
        <v>21</v>
      </c>
      <c r="D117">
        <v>5</v>
      </c>
      <c r="E117" t="s">
        <v>55</v>
      </c>
      <c r="F117">
        <v>65.150000000000006</v>
      </c>
      <c r="G117">
        <v>45.94</v>
      </c>
      <c r="H117" s="3">
        <v>0.98250000000000004</v>
      </c>
    </row>
    <row r="118" spans="1:8">
      <c r="A118" t="s">
        <v>42</v>
      </c>
      <c r="B118" t="s">
        <v>5</v>
      </c>
      <c r="C118" t="s">
        <v>24</v>
      </c>
      <c r="D118">
        <v>6</v>
      </c>
      <c r="E118" t="s">
        <v>55</v>
      </c>
      <c r="F118">
        <v>65.87</v>
      </c>
      <c r="G118">
        <v>45.94</v>
      </c>
      <c r="H118" s="3">
        <v>0.98250000000000004</v>
      </c>
    </row>
    <row r="119" spans="1:8">
      <c r="A119" t="s">
        <v>42</v>
      </c>
      <c r="B119" t="s">
        <v>6</v>
      </c>
      <c r="C119" t="s">
        <v>9</v>
      </c>
      <c r="D119">
        <v>1</v>
      </c>
      <c r="E119" t="s">
        <v>55</v>
      </c>
      <c r="F119">
        <v>47.75</v>
      </c>
      <c r="G119">
        <v>26.1</v>
      </c>
      <c r="H119" s="3">
        <v>0.98299999999999998</v>
      </c>
    </row>
    <row r="120" spans="1:8">
      <c r="A120" t="s">
        <v>42</v>
      </c>
      <c r="B120" t="s">
        <v>6</v>
      </c>
      <c r="C120" t="s">
        <v>12</v>
      </c>
      <c r="D120">
        <v>2</v>
      </c>
      <c r="E120" t="s">
        <v>55</v>
      </c>
      <c r="F120">
        <v>48.19</v>
      </c>
      <c r="G120">
        <v>26.1</v>
      </c>
      <c r="H120" s="3">
        <v>0.98299999999999998</v>
      </c>
    </row>
    <row r="121" spans="1:8">
      <c r="A121" t="s">
        <v>42</v>
      </c>
      <c r="B121" t="s">
        <v>6</v>
      </c>
      <c r="C121" t="s">
        <v>15</v>
      </c>
      <c r="D121">
        <v>3</v>
      </c>
      <c r="E121" t="s">
        <v>55</v>
      </c>
      <c r="F121">
        <v>50.98</v>
      </c>
      <c r="G121">
        <v>26.1</v>
      </c>
      <c r="H121" s="3">
        <v>0.98299999999999998</v>
      </c>
    </row>
    <row r="122" spans="1:8">
      <c r="A122" t="s">
        <v>42</v>
      </c>
      <c r="B122" t="s">
        <v>6</v>
      </c>
      <c r="C122" t="s">
        <v>18</v>
      </c>
      <c r="D122">
        <v>4</v>
      </c>
      <c r="E122" t="s">
        <v>55</v>
      </c>
      <c r="F122">
        <v>50.73</v>
      </c>
      <c r="G122">
        <v>26.1</v>
      </c>
      <c r="H122" s="3">
        <v>0.98299999999999998</v>
      </c>
    </row>
    <row r="123" spans="1:8">
      <c r="A123" t="s">
        <v>42</v>
      </c>
      <c r="B123" t="s">
        <v>6</v>
      </c>
      <c r="C123" t="s">
        <v>21</v>
      </c>
      <c r="D123">
        <v>5</v>
      </c>
      <c r="E123" t="s">
        <v>55</v>
      </c>
      <c r="F123">
        <v>49.41</v>
      </c>
      <c r="G123">
        <v>26.1</v>
      </c>
      <c r="H123" s="3">
        <v>0.98299999999999998</v>
      </c>
    </row>
    <row r="124" spans="1:8">
      <c r="A124" t="s">
        <v>42</v>
      </c>
      <c r="B124" t="s">
        <v>6</v>
      </c>
      <c r="C124" t="s">
        <v>24</v>
      </c>
      <c r="D124">
        <v>6</v>
      </c>
      <c r="E124" t="s">
        <v>55</v>
      </c>
      <c r="F124">
        <v>49.83</v>
      </c>
      <c r="G124">
        <v>26.1</v>
      </c>
      <c r="H124" s="3">
        <v>0.98299999999999998</v>
      </c>
    </row>
    <row r="125" spans="1:8">
      <c r="A125" t="s">
        <v>45</v>
      </c>
      <c r="B125" t="s">
        <v>3</v>
      </c>
      <c r="C125" t="s">
        <v>9</v>
      </c>
      <c r="D125">
        <v>1</v>
      </c>
      <c r="E125" t="s">
        <v>55</v>
      </c>
      <c r="F125">
        <v>49</v>
      </c>
      <c r="G125">
        <v>21.94</v>
      </c>
      <c r="H125" s="3">
        <v>0.97099999999999997</v>
      </c>
    </row>
    <row r="126" spans="1:8">
      <c r="A126" t="s">
        <v>45</v>
      </c>
      <c r="B126" t="s">
        <v>3</v>
      </c>
      <c r="C126" t="s">
        <v>12</v>
      </c>
      <c r="D126">
        <v>2</v>
      </c>
      <c r="E126" t="s">
        <v>55</v>
      </c>
      <c r="F126">
        <v>49.25</v>
      </c>
      <c r="G126">
        <v>21.94</v>
      </c>
      <c r="H126" s="3">
        <v>0.97099999999999997</v>
      </c>
    </row>
    <row r="127" spans="1:8">
      <c r="A127" t="s">
        <v>45</v>
      </c>
      <c r="B127" t="s">
        <v>3</v>
      </c>
      <c r="C127" t="s">
        <v>15</v>
      </c>
      <c r="D127">
        <v>3</v>
      </c>
      <c r="E127" t="s">
        <v>55</v>
      </c>
      <c r="F127">
        <v>54.56</v>
      </c>
      <c r="G127">
        <v>21.94</v>
      </c>
      <c r="H127" s="3">
        <v>0.97099999999999997</v>
      </c>
    </row>
    <row r="128" spans="1:8">
      <c r="A128" t="s">
        <v>45</v>
      </c>
      <c r="B128" t="s">
        <v>3</v>
      </c>
      <c r="C128" t="s">
        <v>18</v>
      </c>
      <c r="D128">
        <v>4</v>
      </c>
      <c r="E128" t="s">
        <v>55</v>
      </c>
      <c r="F128">
        <v>53.7</v>
      </c>
      <c r="G128">
        <v>21.94</v>
      </c>
      <c r="H128" s="3">
        <v>0.97099999999999997</v>
      </c>
    </row>
    <row r="129" spans="1:8">
      <c r="A129" t="s">
        <v>45</v>
      </c>
      <c r="B129" t="s">
        <v>3</v>
      </c>
      <c r="C129" t="s">
        <v>21</v>
      </c>
      <c r="D129">
        <v>5</v>
      </c>
      <c r="E129" t="s">
        <v>55</v>
      </c>
      <c r="F129">
        <v>51.63</v>
      </c>
      <c r="G129">
        <v>21.94</v>
      </c>
      <c r="H129" s="3">
        <v>0.97099999999999997</v>
      </c>
    </row>
    <row r="130" spans="1:8">
      <c r="A130" t="s">
        <v>45</v>
      </c>
      <c r="B130" t="s">
        <v>3</v>
      </c>
      <c r="C130" t="s">
        <v>24</v>
      </c>
      <c r="D130">
        <v>6</v>
      </c>
      <c r="E130" t="s">
        <v>55</v>
      </c>
      <c r="F130">
        <v>52.29</v>
      </c>
      <c r="G130">
        <v>21.94</v>
      </c>
      <c r="H130" s="3">
        <v>0.97099999999999997</v>
      </c>
    </row>
    <row r="131" spans="1:8">
      <c r="A131" t="s">
        <v>45</v>
      </c>
      <c r="B131" t="s">
        <v>4</v>
      </c>
      <c r="C131" t="s">
        <v>9</v>
      </c>
      <c r="D131">
        <v>1</v>
      </c>
      <c r="E131" t="s">
        <v>56</v>
      </c>
      <c r="F131">
        <v>0</v>
      </c>
      <c r="G131">
        <v>52.51</v>
      </c>
      <c r="H131" s="3">
        <v>0.97099999999999997</v>
      </c>
    </row>
    <row r="132" spans="1:8">
      <c r="A132" t="s">
        <v>45</v>
      </c>
      <c r="B132" t="s">
        <v>4</v>
      </c>
      <c r="C132" t="s">
        <v>12</v>
      </c>
      <c r="D132">
        <v>2</v>
      </c>
      <c r="E132" t="s">
        <v>56</v>
      </c>
      <c r="F132">
        <v>0</v>
      </c>
      <c r="G132">
        <v>52.51</v>
      </c>
      <c r="H132" s="3">
        <v>0.97099999999999997</v>
      </c>
    </row>
    <row r="133" spans="1:8">
      <c r="A133" t="s">
        <v>45</v>
      </c>
      <c r="B133" t="s">
        <v>4</v>
      </c>
      <c r="C133" t="s">
        <v>15</v>
      </c>
      <c r="D133">
        <v>3</v>
      </c>
      <c r="E133" t="s">
        <v>56</v>
      </c>
      <c r="F133">
        <v>0</v>
      </c>
      <c r="G133">
        <v>52.51</v>
      </c>
      <c r="H133" s="3">
        <v>0.97099999999999997</v>
      </c>
    </row>
    <row r="134" spans="1:8">
      <c r="A134" t="s">
        <v>45</v>
      </c>
      <c r="B134" t="s">
        <v>4</v>
      </c>
      <c r="C134" t="s">
        <v>18</v>
      </c>
      <c r="D134">
        <v>4</v>
      </c>
      <c r="E134" t="s">
        <v>56</v>
      </c>
      <c r="F134">
        <v>27.82</v>
      </c>
      <c r="G134">
        <v>52.51</v>
      </c>
      <c r="H134" s="3">
        <v>0.97099999999999997</v>
      </c>
    </row>
    <row r="135" spans="1:8">
      <c r="A135" t="s">
        <v>45</v>
      </c>
      <c r="B135" t="s">
        <v>4</v>
      </c>
      <c r="C135" t="s">
        <v>21</v>
      </c>
      <c r="D135">
        <v>5</v>
      </c>
      <c r="E135" t="s">
        <v>56</v>
      </c>
      <c r="F135">
        <v>135.22</v>
      </c>
      <c r="G135">
        <v>52.51</v>
      </c>
      <c r="H135" s="3">
        <v>0.97099999999999997</v>
      </c>
    </row>
    <row r="136" spans="1:8">
      <c r="A136" t="s">
        <v>45</v>
      </c>
      <c r="B136" t="s">
        <v>4</v>
      </c>
      <c r="C136" t="s">
        <v>24</v>
      </c>
      <c r="D136">
        <v>6</v>
      </c>
      <c r="E136" t="s">
        <v>56</v>
      </c>
      <c r="F136">
        <v>119.09</v>
      </c>
      <c r="G136">
        <v>52.51</v>
      </c>
      <c r="H136" s="3">
        <v>0.97099999999999997</v>
      </c>
    </row>
    <row r="137" spans="1:8">
      <c r="A137" t="s">
        <v>45</v>
      </c>
      <c r="B137" t="s">
        <v>5</v>
      </c>
      <c r="C137" t="s">
        <v>9</v>
      </c>
      <c r="D137">
        <v>1</v>
      </c>
      <c r="E137" t="s">
        <v>55</v>
      </c>
      <c r="F137">
        <v>39.25</v>
      </c>
      <c r="G137">
        <v>57.33</v>
      </c>
      <c r="H137" s="3">
        <v>0.97099999999999997</v>
      </c>
    </row>
    <row r="138" spans="1:8">
      <c r="A138" t="s">
        <v>45</v>
      </c>
      <c r="B138" t="s">
        <v>5</v>
      </c>
      <c r="C138" t="s">
        <v>12</v>
      </c>
      <c r="D138">
        <v>2</v>
      </c>
      <c r="E138" t="s">
        <v>55</v>
      </c>
      <c r="F138">
        <v>39.56</v>
      </c>
      <c r="G138">
        <v>57.33</v>
      </c>
      <c r="H138" s="3">
        <v>0.97099999999999997</v>
      </c>
    </row>
    <row r="139" spans="1:8">
      <c r="A139" t="s">
        <v>45</v>
      </c>
      <c r="B139" t="s">
        <v>5</v>
      </c>
      <c r="C139" t="s">
        <v>15</v>
      </c>
      <c r="D139">
        <v>3</v>
      </c>
      <c r="E139" t="s">
        <v>55</v>
      </c>
      <c r="F139">
        <v>43.2</v>
      </c>
      <c r="G139">
        <v>57.33</v>
      </c>
      <c r="H139" s="3">
        <v>0.97099999999999997</v>
      </c>
    </row>
    <row r="140" spans="1:8">
      <c r="A140" t="s">
        <v>45</v>
      </c>
      <c r="B140" t="s">
        <v>5</v>
      </c>
      <c r="C140" t="s">
        <v>18</v>
      </c>
      <c r="D140">
        <v>4</v>
      </c>
      <c r="E140" t="s">
        <v>55</v>
      </c>
      <c r="F140">
        <v>45.75</v>
      </c>
      <c r="G140">
        <v>57.33</v>
      </c>
      <c r="H140" s="3">
        <v>0.97099999999999997</v>
      </c>
    </row>
    <row r="141" spans="1:8">
      <c r="A141" t="s">
        <v>45</v>
      </c>
      <c r="B141" t="s">
        <v>5</v>
      </c>
      <c r="C141" t="s">
        <v>21</v>
      </c>
      <c r="D141">
        <v>5</v>
      </c>
      <c r="E141" t="s">
        <v>55</v>
      </c>
      <c r="F141">
        <v>41.94</v>
      </c>
      <c r="G141">
        <v>57.33</v>
      </c>
      <c r="H141" s="3">
        <v>0.97099999999999997</v>
      </c>
    </row>
    <row r="142" spans="1:8">
      <c r="A142" t="s">
        <v>45</v>
      </c>
      <c r="B142" t="s">
        <v>5</v>
      </c>
      <c r="C142" t="s">
        <v>24</v>
      </c>
      <c r="D142">
        <v>6</v>
      </c>
      <c r="E142" t="s">
        <v>55</v>
      </c>
      <c r="F142">
        <v>42.62</v>
      </c>
      <c r="G142">
        <v>57.33</v>
      </c>
      <c r="H142" s="3">
        <v>0.97099999999999997</v>
      </c>
    </row>
    <row r="143" spans="1:8">
      <c r="A143" t="s">
        <v>45</v>
      </c>
      <c r="B143" t="s">
        <v>6</v>
      </c>
      <c r="C143" t="s">
        <v>9</v>
      </c>
      <c r="D143">
        <v>1</v>
      </c>
      <c r="E143" t="s">
        <v>55</v>
      </c>
      <c r="F143">
        <v>47.75</v>
      </c>
      <c r="G143">
        <v>84.62</v>
      </c>
      <c r="H143" s="3">
        <v>0.97099999999999997</v>
      </c>
    </row>
    <row r="144" spans="1:8">
      <c r="A144" t="s">
        <v>45</v>
      </c>
      <c r="B144" t="s">
        <v>6</v>
      </c>
      <c r="C144" t="s">
        <v>12</v>
      </c>
      <c r="D144">
        <v>2</v>
      </c>
      <c r="E144" t="s">
        <v>55</v>
      </c>
      <c r="F144">
        <v>42.94</v>
      </c>
      <c r="G144">
        <v>84.62</v>
      </c>
      <c r="H144" s="3">
        <v>0.97099999999999997</v>
      </c>
    </row>
    <row r="145" spans="1:8">
      <c r="A145" t="s">
        <v>45</v>
      </c>
      <c r="B145" t="s">
        <v>6</v>
      </c>
      <c r="C145" t="s">
        <v>15</v>
      </c>
      <c r="D145">
        <v>3</v>
      </c>
      <c r="E145" t="s">
        <v>55</v>
      </c>
      <c r="F145">
        <v>42.92</v>
      </c>
      <c r="G145">
        <v>84.62</v>
      </c>
      <c r="H145" s="3">
        <v>0.97099999999999997</v>
      </c>
    </row>
    <row r="146" spans="1:8">
      <c r="A146" t="s">
        <v>45</v>
      </c>
      <c r="B146" t="s">
        <v>6</v>
      </c>
      <c r="C146" t="s">
        <v>18</v>
      </c>
      <c r="D146">
        <v>4</v>
      </c>
      <c r="E146" t="s">
        <v>55</v>
      </c>
      <c r="F146">
        <v>40.9</v>
      </c>
      <c r="G146">
        <v>84.62</v>
      </c>
      <c r="H146" s="3">
        <v>0.97099999999999997</v>
      </c>
    </row>
    <row r="147" spans="1:8">
      <c r="A147" t="s">
        <v>45</v>
      </c>
      <c r="B147" t="s">
        <v>6</v>
      </c>
      <c r="C147" t="s">
        <v>21</v>
      </c>
      <c r="D147">
        <v>5</v>
      </c>
      <c r="E147" t="s">
        <v>55</v>
      </c>
      <c r="F147">
        <v>43.63</v>
      </c>
      <c r="G147">
        <v>84.62</v>
      </c>
      <c r="H147" s="3">
        <v>0.97099999999999997</v>
      </c>
    </row>
    <row r="148" spans="1:8">
      <c r="A148" t="s">
        <v>45</v>
      </c>
      <c r="B148" t="s">
        <v>6</v>
      </c>
      <c r="C148" t="s">
        <v>24</v>
      </c>
      <c r="D148">
        <v>6</v>
      </c>
      <c r="E148" t="s">
        <v>55</v>
      </c>
      <c r="F148">
        <v>42.6</v>
      </c>
      <c r="G148">
        <v>84.62</v>
      </c>
      <c r="H148" s="3">
        <v>0.97099999999999997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6"/>
  <sheetViews>
    <sheetView zoomScale="53" zoomScaleNormal="53" workbookViewId="0">
      <selection sqref="A1:H1"/>
    </sheetView>
  </sheetViews>
  <sheetFormatPr defaultRowHeight="14"/>
  <sheetData>
    <row r="1" spans="1:17" ht="23">
      <c r="A1" s="10" t="s">
        <v>66</v>
      </c>
      <c r="B1" s="11"/>
      <c r="C1" s="11"/>
      <c r="D1" s="11"/>
      <c r="E1" s="11"/>
      <c r="F1" s="11"/>
      <c r="G1" s="11"/>
      <c r="H1" s="11"/>
    </row>
    <row r="2" spans="1:17" ht="14.5">
      <c r="A2" s="12" t="s">
        <v>67</v>
      </c>
      <c r="B2" s="11"/>
      <c r="C2" s="11"/>
      <c r="D2" s="11"/>
      <c r="E2" s="11"/>
      <c r="F2" s="11"/>
      <c r="G2" s="11"/>
      <c r="H2" s="11"/>
    </row>
    <row r="4" spans="1:17" ht="56">
      <c r="A4" s="1" t="s">
        <v>25</v>
      </c>
      <c r="B4" s="1" t="s">
        <v>26</v>
      </c>
      <c r="C4" s="1" t="s">
        <v>27</v>
      </c>
      <c r="D4" s="1" t="s">
        <v>28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O4" s="8" t="s">
        <v>26</v>
      </c>
      <c r="P4" s="8" t="s">
        <v>75</v>
      </c>
      <c r="Q4" s="8" t="s">
        <v>76</v>
      </c>
    </row>
    <row r="5" spans="1:17">
      <c r="A5" t="s">
        <v>31</v>
      </c>
      <c r="B5" t="s">
        <v>3</v>
      </c>
      <c r="C5" t="s">
        <v>32</v>
      </c>
      <c r="D5" t="s">
        <v>6</v>
      </c>
      <c r="E5">
        <v>159.51</v>
      </c>
      <c r="F5" s="3">
        <v>0.94379999999999997</v>
      </c>
      <c r="G5" s="3">
        <v>1</v>
      </c>
      <c r="H5" s="3">
        <v>0</v>
      </c>
      <c r="I5" s="3">
        <v>0</v>
      </c>
      <c r="J5" s="5">
        <v>6.35</v>
      </c>
      <c r="K5" s="5">
        <v>0</v>
      </c>
      <c r="L5" s="4">
        <v>1.91</v>
      </c>
      <c r="M5" s="4">
        <v>1.5</v>
      </c>
      <c r="O5" t="s">
        <v>4</v>
      </c>
      <c r="P5">
        <v>2.69</v>
      </c>
      <c r="Q5">
        <v>2.5</v>
      </c>
    </row>
    <row r="6" spans="1:17">
      <c r="A6" t="s">
        <v>31</v>
      </c>
      <c r="B6" t="s">
        <v>5</v>
      </c>
      <c r="C6" t="s">
        <v>32</v>
      </c>
      <c r="D6" t="s">
        <v>4</v>
      </c>
      <c r="E6">
        <v>63.94</v>
      </c>
      <c r="F6" s="3">
        <v>0.92789999999999995</v>
      </c>
      <c r="G6" s="3">
        <v>1</v>
      </c>
      <c r="H6" s="3">
        <v>0</v>
      </c>
      <c r="I6" s="3">
        <v>0</v>
      </c>
      <c r="J6" s="5">
        <v>4.32</v>
      </c>
      <c r="K6" s="5">
        <v>0</v>
      </c>
      <c r="L6" s="4">
        <v>2.3199999999999998</v>
      </c>
      <c r="M6" s="4">
        <v>1.5</v>
      </c>
      <c r="O6" t="s">
        <v>4</v>
      </c>
      <c r="P6">
        <v>2.68</v>
      </c>
      <c r="Q6">
        <v>2.5</v>
      </c>
    </row>
    <row r="7" spans="1:17">
      <c r="A7" t="s">
        <v>31</v>
      </c>
      <c r="B7" t="s">
        <v>6</v>
      </c>
      <c r="C7" t="s">
        <v>6</v>
      </c>
      <c r="D7" t="s">
        <v>4</v>
      </c>
      <c r="E7">
        <v>45.3</v>
      </c>
      <c r="F7" s="3">
        <v>1</v>
      </c>
      <c r="G7" s="3">
        <v>1</v>
      </c>
      <c r="H7" s="3">
        <v>1E-4</v>
      </c>
      <c r="I7" s="3">
        <v>2.0000000000000001E-4</v>
      </c>
      <c r="J7" s="5">
        <v>0</v>
      </c>
      <c r="K7" s="5">
        <v>0</v>
      </c>
      <c r="L7" s="4">
        <v>1.98</v>
      </c>
      <c r="M7" s="4">
        <v>1.5</v>
      </c>
      <c r="O7" t="s">
        <v>4</v>
      </c>
      <c r="P7">
        <v>2.67</v>
      </c>
      <c r="Q7">
        <v>2.5</v>
      </c>
    </row>
    <row r="8" spans="1:17">
      <c r="A8" t="s">
        <v>33</v>
      </c>
      <c r="B8" t="s">
        <v>3</v>
      </c>
      <c r="C8" t="s">
        <v>32</v>
      </c>
      <c r="D8" t="s">
        <v>6</v>
      </c>
      <c r="E8">
        <v>157.1</v>
      </c>
      <c r="F8" s="3">
        <v>0.90139999999999998</v>
      </c>
      <c r="G8" s="3">
        <v>1</v>
      </c>
      <c r="H8" s="3">
        <v>0</v>
      </c>
      <c r="I8" s="3">
        <v>0</v>
      </c>
      <c r="J8" s="5">
        <v>10.34</v>
      </c>
      <c r="K8" s="5">
        <v>0</v>
      </c>
      <c r="L8" s="4">
        <v>1.95</v>
      </c>
      <c r="M8" s="4">
        <v>1.5</v>
      </c>
      <c r="O8" t="s">
        <v>4</v>
      </c>
      <c r="P8">
        <v>2.65</v>
      </c>
      <c r="Q8">
        <v>2.5</v>
      </c>
    </row>
    <row r="9" spans="1:17">
      <c r="A9" t="s">
        <v>33</v>
      </c>
      <c r="B9" t="s">
        <v>4</v>
      </c>
      <c r="C9" t="s">
        <v>4</v>
      </c>
      <c r="D9" t="s">
        <v>3</v>
      </c>
      <c r="E9">
        <v>179.34</v>
      </c>
      <c r="F9" s="3">
        <v>0.96430000000000005</v>
      </c>
      <c r="G9" s="3">
        <v>1</v>
      </c>
      <c r="H9" s="3">
        <v>2.8E-3</v>
      </c>
      <c r="I9" s="3">
        <v>0</v>
      </c>
      <c r="J9" s="5">
        <v>1.92</v>
      </c>
      <c r="K9" s="5">
        <v>0</v>
      </c>
      <c r="L9" s="4">
        <v>2.67</v>
      </c>
      <c r="M9" s="4">
        <v>2.5</v>
      </c>
      <c r="O9" t="s">
        <v>4</v>
      </c>
      <c r="P9">
        <v>2.64</v>
      </c>
      <c r="Q9">
        <v>2.5</v>
      </c>
    </row>
    <row r="10" spans="1:17">
      <c r="A10" t="s">
        <v>33</v>
      </c>
      <c r="B10" t="s">
        <v>6</v>
      </c>
      <c r="C10" t="s">
        <v>6</v>
      </c>
      <c r="D10" t="s">
        <v>4</v>
      </c>
      <c r="E10">
        <v>130.72</v>
      </c>
      <c r="F10" s="3">
        <v>0.92169999999999996</v>
      </c>
      <c r="G10" s="3">
        <v>1</v>
      </c>
      <c r="H10" s="3">
        <v>0</v>
      </c>
      <c r="I10" s="3">
        <v>0</v>
      </c>
      <c r="J10" s="5">
        <v>4.2</v>
      </c>
      <c r="K10" s="5">
        <v>0</v>
      </c>
      <c r="L10" s="4">
        <v>2.4900000000000002</v>
      </c>
      <c r="M10" s="4">
        <v>1.5</v>
      </c>
      <c r="O10" t="s">
        <v>6</v>
      </c>
      <c r="P10">
        <v>2.5099999999999998</v>
      </c>
      <c r="Q10">
        <v>1.5</v>
      </c>
    </row>
    <row r="11" spans="1:17">
      <c r="A11" t="s">
        <v>40</v>
      </c>
      <c r="B11" t="s">
        <v>4</v>
      </c>
      <c r="C11" t="s">
        <v>4</v>
      </c>
      <c r="D11" t="s">
        <v>3</v>
      </c>
      <c r="E11">
        <v>152.83000000000001</v>
      </c>
      <c r="F11" s="3">
        <v>0.86880000000000002</v>
      </c>
      <c r="G11" s="3">
        <v>1</v>
      </c>
      <c r="H11" s="3">
        <v>2.0000000000000001E-4</v>
      </c>
      <c r="I11" s="3">
        <v>0</v>
      </c>
      <c r="J11" s="5">
        <v>6.95</v>
      </c>
      <c r="K11" s="5">
        <v>0</v>
      </c>
      <c r="L11" s="4">
        <v>2.68</v>
      </c>
      <c r="M11" s="4">
        <v>2.5</v>
      </c>
      <c r="O11" t="s">
        <v>6</v>
      </c>
      <c r="P11">
        <v>2.5</v>
      </c>
      <c r="Q11">
        <v>1.3</v>
      </c>
    </row>
    <row r="12" spans="1:17">
      <c r="A12" t="s">
        <v>40</v>
      </c>
      <c r="B12" t="s">
        <v>5</v>
      </c>
      <c r="C12" t="s">
        <v>32</v>
      </c>
      <c r="D12" t="s">
        <v>4</v>
      </c>
      <c r="E12">
        <v>98.68</v>
      </c>
      <c r="F12" s="3">
        <v>0.77500000000000002</v>
      </c>
      <c r="G12" s="3">
        <v>1</v>
      </c>
      <c r="H12" s="3">
        <v>0</v>
      </c>
      <c r="I12" s="3">
        <v>0</v>
      </c>
      <c r="J12" s="5">
        <v>23.08</v>
      </c>
      <c r="K12" s="5">
        <v>0</v>
      </c>
      <c r="L12" s="4">
        <v>2.25</v>
      </c>
      <c r="M12" s="4">
        <v>1.5</v>
      </c>
      <c r="O12" t="s">
        <v>6</v>
      </c>
      <c r="P12">
        <v>2.4900000000000002</v>
      </c>
      <c r="Q12">
        <v>1.5</v>
      </c>
    </row>
    <row r="13" spans="1:17">
      <c r="A13" t="s">
        <v>40</v>
      </c>
      <c r="B13" t="s">
        <v>6</v>
      </c>
      <c r="C13" t="s">
        <v>6</v>
      </c>
      <c r="D13" t="s">
        <v>4</v>
      </c>
      <c r="E13">
        <v>183.51</v>
      </c>
      <c r="F13" s="3">
        <v>0.66180000000000005</v>
      </c>
      <c r="G13" s="3">
        <v>1</v>
      </c>
      <c r="H13" s="3">
        <v>0</v>
      </c>
      <c r="I13" s="3">
        <v>0</v>
      </c>
      <c r="J13" s="5">
        <v>33.51</v>
      </c>
      <c r="K13" s="5">
        <v>0</v>
      </c>
      <c r="L13" s="4">
        <v>2.5</v>
      </c>
      <c r="M13" s="4">
        <v>1.3</v>
      </c>
      <c r="O13" t="s">
        <v>6</v>
      </c>
      <c r="P13">
        <v>2.44</v>
      </c>
      <c r="Q13">
        <v>1.5</v>
      </c>
    </row>
    <row r="14" spans="1:17">
      <c r="A14" t="s">
        <v>39</v>
      </c>
      <c r="B14" t="s">
        <v>3</v>
      </c>
      <c r="C14" t="s">
        <v>32</v>
      </c>
      <c r="D14" t="s">
        <v>6</v>
      </c>
      <c r="E14">
        <v>129.54</v>
      </c>
      <c r="F14" s="3">
        <v>0.78059999999999996</v>
      </c>
      <c r="G14" s="3">
        <v>1</v>
      </c>
      <c r="H14" s="3">
        <v>0</v>
      </c>
      <c r="I14" s="3">
        <v>0</v>
      </c>
      <c r="J14" s="5">
        <v>20.64</v>
      </c>
      <c r="K14" s="5">
        <v>0</v>
      </c>
      <c r="L14" s="4">
        <v>2</v>
      </c>
      <c r="M14" s="4">
        <v>1.5</v>
      </c>
      <c r="O14" t="s">
        <v>6</v>
      </c>
      <c r="P14">
        <v>2.42</v>
      </c>
      <c r="Q14">
        <v>1.2</v>
      </c>
    </row>
    <row r="15" spans="1:17">
      <c r="A15" t="s">
        <v>39</v>
      </c>
      <c r="B15" t="s">
        <v>5</v>
      </c>
      <c r="C15" t="s">
        <v>32</v>
      </c>
      <c r="D15" t="s">
        <v>4</v>
      </c>
      <c r="E15">
        <v>123.77</v>
      </c>
      <c r="F15" s="3">
        <v>0.9204</v>
      </c>
      <c r="G15" s="3">
        <v>1</v>
      </c>
      <c r="H15" s="3">
        <v>0</v>
      </c>
      <c r="I15" s="3">
        <v>0</v>
      </c>
      <c r="J15" s="5">
        <v>9.59</v>
      </c>
      <c r="K15" s="5">
        <v>0</v>
      </c>
      <c r="L15" s="4">
        <v>2.1</v>
      </c>
      <c r="M15" s="4">
        <v>1.5</v>
      </c>
      <c r="O15" t="s">
        <v>4</v>
      </c>
      <c r="P15">
        <v>2.39</v>
      </c>
      <c r="Q15">
        <v>2.2000000000000002</v>
      </c>
    </row>
    <row r="16" spans="1:17">
      <c r="A16" t="s">
        <v>42</v>
      </c>
      <c r="B16" t="s">
        <v>5</v>
      </c>
      <c r="C16" t="s">
        <v>32</v>
      </c>
      <c r="D16" t="s">
        <v>4</v>
      </c>
      <c r="E16">
        <v>192.19</v>
      </c>
      <c r="F16" s="3">
        <v>0.85229999999999995</v>
      </c>
      <c r="G16" s="3">
        <v>1</v>
      </c>
      <c r="H16" s="3">
        <v>0</v>
      </c>
      <c r="I16" s="3">
        <v>0</v>
      </c>
      <c r="J16" s="5">
        <v>27.56</v>
      </c>
      <c r="K16" s="5">
        <v>0</v>
      </c>
      <c r="L16" s="4">
        <v>2.14</v>
      </c>
      <c r="M16" s="4">
        <v>1.5</v>
      </c>
      <c r="O16" t="s">
        <v>5</v>
      </c>
      <c r="P16">
        <v>2.3199999999999998</v>
      </c>
      <c r="Q16">
        <v>1.5</v>
      </c>
    </row>
    <row r="17" spans="1:17">
      <c r="A17" t="s">
        <v>42</v>
      </c>
      <c r="B17" t="s">
        <v>6</v>
      </c>
      <c r="C17" t="s">
        <v>6</v>
      </c>
      <c r="D17" t="s">
        <v>4</v>
      </c>
      <c r="E17">
        <v>134.22</v>
      </c>
      <c r="F17" s="3">
        <v>0.72689999999999999</v>
      </c>
      <c r="G17" s="3">
        <v>1</v>
      </c>
      <c r="H17" s="3">
        <v>0</v>
      </c>
      <c r="I17" s="3">
        <v>0</v>
      </c>
      <c r="J17" s="5">
        <v>18.11</v>
      </c>
      <c r="K17" s="5">
        <v>0</v>
      </c>
      <c r="L17" s="4">
        <v>2.5099999999999998</v>
      </c>
      <c r="M17" s="4">
        <v>1.5</v>
      </c>
      <c r="O17" t="s">
        <v>5</v>
      </c>
      <c r="P17">
        <v>2.25</v>
      </c>
      <c r="Q17">
        <v>1.5</v>
      </c>
    </row>
    <row r="18" spans="1:17">
      <c r="A18" t="s">
        <v>45</v>
      </c>
      <c r="B18" t="s">
        <v>4</v>
      </c>
      <c r="C18" t="s">
        <v>4</v>
      </c>
      <c r="D18" t="s">
        <v>3</v>
      </c>
      <c r="E18">
        <v>167</v>
      </c>
      <c r="F18" s="3">
        <v>1</v>
      </c>
      <c r="G18" s="3">
        <v>1</v>
      </c>
      <c r="H18" s="3">
        <v>1.8E-3</v>
      </c>
      <c r="I18" s="3">
        <v>0</v>
      </c>
      <c r="J18" s="5">
        <v>0</v>
      </c>
      <c r="K18" s="5">
        <v>0</v>
      </c>
      <c r="L18" s="4">
        <v>2.64</v>
      </c>
      <c r="M18" s="4">
        <v>2.5</v>
      </c>
      <c r="O18" t="s">
        <v>5</v>
      </c>
      <c r="P18">
        <v>2.1800000000000002</v>
      </c>
      <c r="Q18">
        <v>1.5</v>
      </c>
    </row>
    <row r="19" spans="1:17">
      <c r="A19" t="s">
        <v>45</v>
      </c>
      <c r="B19" t="s">
        <v>5</v>
      </c>
      <c r="C19" t="s">
        <v>32</v>
      </c>
      <c r="D19" t="s">
        <v>4</v>
      </c>
      <c r="E19">
        <v>152.94</v>
      </c>
      <c r="F19" s="3">
        <v>1</v>
      </c>
      <c r="G19" s="3">
        <v>1</v>
      </c>
      <c r="H19" s="3">
        <v>1E-4</v>
      </c>
      <c r="I19" s="3">
        <v>0</v>
      </c>
      <c r="J19" s="5">
        <v>0</v>
      </c>
      <c r="K19" s="5">
        <v>0</v>
      </c>
      <c r="L19" s="4">
        <v>2.1800000000000002</v>
      </c>
      <c r="M19" s="4">
        <v>1.5</v>
      </c>
      <c r="O19" t="s">
        <v>5</v>
      </c>
      <c r="P19">
        <v>2.14</v>
      </c>
      <c r="Q19">
        <v>1.5</v>
      </c>
    </row>
    <row r="20" spans="1:17">
      <c r="A20" t="s">
        <v>45</v>
      </c>
      <c r="B20" t="s">
        <v>6</v>
      </c>
      <c r="C20" t="s">
        <v>6</v>
      </c>
      <c r="D20" t="s">
        <v>4</v>
      </c>
      <c r="E20">
        <v>188.51</v>
      </c>
      <c r="F20" s="3">
        <v>1</v>
      </c>
      <c r="G20" s="3">
        <v>1</v>
      </c>
      <c r="H20" s="3">
        <v>1E-3</v>
      </c>
      <c r="I20" s="3">
        <v>0</v>
      </c>
      <c r="J20" s="5">
        <v>0</v>
      </c>
      <c r="K20" s="5">
        <v>0</v>
      </c>
      <c r="L20" s="4">
        <v>2.44</v>
      </c>
      <c r="M20" s="4">
        <v>1.5</v>
      </c>
      <c r="O20" t="s">
        <v>3</v>
      </c>
      <c r="P20">
        <v>2.13</v>
      </c>
      <c r="Q20">
        <v>1.3</v>
      </c>
    </row>
    <row r="21" spans="1:17">
      <c r="A21" t="s">
        <v>33</v>
      </c>
      <c r="B21" t="s">
        <v>5</v>
      </c>
      <c r="C21" t="s">
        <v>32</v>
      </c>
      <c r="D21" t="s">
        <v>4</v>
      </c>
      <c r="E21">
        <v>144.52000000000001</v>
      </c>
      <c r="F21" s="3">
        <v>0.83199999999999996</v>
      </c>
      <c r="G21" s="3">
        <v>0.99909999999999999</v>
      </c>
      <c r="H21" s="3">
        <v>0</v>
      </c>
      <c r="I21" s="3">
        <v>0</v>
      </c>
      <c r="J21" s="5">
        <v>26.06</v>
      </c>
      <c r="K21" s="5">
        <v>0.14000000000000001</v>
      </c>
      <c r="L21" s="4">
        <v>2.1</v>
      </c>
      <c r="M21" s="4">
        <v>1.5</v>
      </c>
      <c r="O21" t="s">
        <v>5</v>
      </c>
      <c r="P21">
        <v>2.1</v>
      </c>
      <c r="Q21">
        <v>1.5</v>
      </c>
    </row>
    <row r="22" spans="1:17">
      <c r="A22" t="s">
        <v>40</v>
      </c>
      <c r="B22" t="s">
        <v>3</v>
      </c>
      <c r="C22" t="s">
        <v>32</v>
      </c>
      <c r="D22" t="s">
        <v>6</v>
      </c>
      <c r="E22">
        <v>149.18</v>
      </c>
      <c r="F22" s="3">
        <v>0.59009999999999996</v>
      </c>
      <c r="G22" s="3">
        <v>0.99390000000000001</v>
      </c>
      <c r="H22" s="3">
        <v>0</v>
      </c>
      <c r="I22" s="3">
        <v>0</v>
      </c>
      <c r="J22" s="5">
        <v>51.25</v>
      </c>
      <c r="K22" s="5">
        <v>0.77</v>
      </c>
      <c r="L22" s="4">
        <v>2.13</v>
      </c>
      <c r="M22" s="4">
        <v>1.3</v>
      </c>
      <c r="O22" t="s">
        <v>5</v>
      </c>
      <c r="P22">
        <v>2.1</v>
      </c>
      <c r="Q22">
        <v>1.5</v>
      </c>
    </row>
    <row r="23" spans="1:17">
      <c r="A23" t="s">
        <v>39</v>
      </c>
      <c r="B23" t="s">
        <v>4</v>
      </c>
      <c r="C23" t="s">
        <v>4</v>
      </c>
      <c r="D23" t="s">
        <v>3</v>
      </c>
      <c r="E23">
        <v>201.38</v>
      </c>
      <c r="F23" s="3">
        <v>0.68889999999999996</v>
      </c>
      <c r="G23" s="3">
        <v>0.97289999999999999</v>
      </c>
      <c r="H23" s="3">
        <v>0</v>
      </c>
      <c r="I23" s="3">
        <v>0</v>
      </c>
      <c r="J23" s="5">
        <v>25.11</v>
      </c>
      <c r="K23" s="5">
        <v>2.19</v>
      </c>
      <c r="L23" s="4">
        <v>2.69</v>
      </c>
      <c r="M23" s="4">
        <v>2.5</v>
      </c>
      <c r="O23" t="s">
        <v>3</v>
      </c>
      <c r="P23">
        <v>2</v>
      </c>
      <c r="Q23">
        <v>1.5</v>
      </c>
    </row>
    <row r="24" spans="1:17">
      <c r="A24" t="s">
        <v>42</v>
      </c>
      <c r="B24" t="s">
        <v>3</v>
      </c>
      <c r="C24" t="s">
        <v>32</v>
      </c>
      <c r="D24" t="s">
        <v>6</v>
      </c>
      <c r="E24">
        <v>160.44</v>
      </c>
      <c r="F24" s="3">
        <v>0.79610000000000003</v>
      </c>
      <c r="G24" s="3">
        <v>0.95709999999999995</v>
      </c>
      <c r="H24" s="3">
        <v>0</v>
      </c>
      <c r="I24" s="3">
        <v>0</v>
      </c>
      <c r="J24" s="5">
        <v>25.12</v>
      </c>
      <c r="K24" s="5">
        <v>5.29</v>
      </c>
      <c r="L24" s="4">
        <v>1.89</v>
      </c>
      <c r="M24" s="4">
        <v>1.5</v>
      </c>
      <c r="O24" t="s">
        <v>6</v>
      </c>
      <c r="P24">
        <v>1.98</v>
      </c>
      <c r="Q24">
        <v>1.5</v>
      </c>
    </row>
    <row r="25" spans="1:17">
      <c r="A25" t="s">
        <v>45</v>
      </c>
      <c r="B25" t="s">
        <v>3</v>
      </c>
      <c r="C25" t="s">
        <v>32</v>
      </c>
      <c r="D25" t="s">
        <v>6</v>
      </c>
      <c r="E25">
        <v>129.82</v>
      </c>
      <c r="F25" s="3">
        <v>0.74109999999999998</v>
      </c>
      <c r="G25" s="3">
        <v>0.94089999999999996</v>
      </c>
      <c r="H25" s="3">
        <v>0</v>
      </c>
      <c r="I25" s="3">
        <v>0</v>
      </c>
      <c r="J25" s="5">
        <v>26.26</v>
      </c>
      <c r="K25" s="5">
        <v>5.99</v>
      </c>
      <c r="L25" s="4">
        <v>1.98</v>
      </c>
      <c r="M25" s="4">
        <v>1.5</v>
      </c>
      <c r="O25" t="s">
        <v>3</v>
      </c>
      <c r="P25">
        <v>1.98</v>
      </c>
      <c r="Q25">
        <v>1.5</v>
      </c>
    </row>
    <row r="26" spans="1:17">
      <c r="A26" t="s">
        <v>39</v>
      </c>
      <c r="B26" t="s">
        <v>6</v>
      </c>
      <c r="C26" t="s">
        <v>6</v>
      </c>
      <c r="D26" t="s">
        <v>4</v>
      </c>
      <c r="E26">
        <v>463.55</v>
      </c>
      <c r="F26" s="3">
        <v>0.62370000000000003</v>
      </c>
      <c r="G26" s="3">
        <v>0.93079999999999996</v>
      </c>
      <c r="H26" s="3">
        <v>0</v>
      </c>
      <c r="I26" s="3">
        <v>0</v>
      </c>
      <c r="J26" s="5">
        <v>112.99</v>
      </c>
      <c r="K26" s="5">
        <v>20.77</v>
      </c>
      <c r="L26" s="4">
        <v>2.42</v>
      </c>
      <c r="M26" s="4">
        <v>1.2</v>
      </c>
      <c r="O26" t="s">
        <v>3</v>
      </c>
      <c r="P26">
        <v>1.95</v>
      </c>
      <c r="Q26">
        <v>1.5</v>
      </c>
    </row>
    <row r="27" spans="1:17">
      <c r="A27" t="s">
        <v>31</v>
      </c>
      <c r="B27" t="s">
        <v>4</v>
      </c>
      <c r="C27" t="s">
        <v>4</v>
      </c>
      <c r="D27" t="s">
        <v>3</v>
      </c>
      <c r="E27">
        <v>146.56</v>
      </c>
      <c r="F27" s="3">
        <v>0.67210000000000003</v>
      </c>
      <c r="G27" s="3">
        <v>0.90669999999999995</v>
      </c>
      <c r="H27" s="3">
        <v>0</v>
      </c>
      <c r="I27" s="3">
        <v>0</v>
      </c>
      <c r="J27" s="5">
        <v>24.8</v>
      </c>
      <c r="K27" s="5">
        <v>7.06</v>
      </c>
      <c r="L27" s="4">
        <v>2.39</v>
      </c>
      <c r="M27" s="4">
        <v>2.2000000000000002</v>
      </c>
      <c r="O27" t="s">
        <v>3</v>
      </c>
      <c r="P27">
        <v>1.91</v>
      </c>
      <c r="Q27">
        <v>1.5</v>
      </c>
    </row>
    <row r="28" spans="1:17" ht="42">
      <c r="A28" t="s">
        <v>42</v>
      </c>
      <c r="B28" t="s">
        <v>4</v>
      </c>
      <c r="C28" t="s">
        <v>4</v>
      </c>
      <c r="D28" t="s">
        <v>3</v>
      </c>
      <c r="E28">
        <v>180.36</v>
      </c>
      <c r="F28" s="3">
        <v>0.66969999999999996</v>
      </c>
      <c r="G28" s="3">
        <v>0.90210000000000001</v>
      </c>
      <c r="H28" s="3">
        <v>0</v>
      </c>
      <c r="I28" s="3">
        <v>0</v>
      </c>
      <c r="J28" s="5">
        <v>25.76</v>
      </c>
      <c r="K28" s="5">
        <v>7.63</v>
      </c>
      <c r="L28" s="4">
        <v>2.65</v>
      </c>
      <c r="M28" s="4">
        <v>2.5</v>
      </c>
      <c r="O28" s="8" t="s">
        <v>77</v>
      </c>
      <c r="P28" s="8" t="s">
        <v>78</v>
      </c>
      <c r="Q28" s="8" t="s">
        <v>79</v>
      </c>
    </row>
    <row r="29" spans="1:17">
      <c r="O29" t="s">
        <v>80</v>
      </c>
      <c r="P29">
        <v>2.8E-3</v>
      </c>
      <c r="Q29">
        <v>0</v>
      </c>
    </row>
    <row r="30" spans="1:17">
      <c r="O30" t="s">
        <v>81</v>
      </c>
      <c r="P30">
        <v>1.8E-3</v>
      </c>
      <c r="Q30">
        <v>0</v>
      </c>
    </row>
    <row r="31" spans="1:17">
      <c r="O31" t="s">
        <v>82</v>
      </c>
      <c r="P31">
        <v>1E-3</v>
      </c>
      <c r="Q31">
        <v>0</v>
      </c>
    </row>
    <row r="32" spans="1:17">
      <c r="O32" t="s">
        <v>83</v>
      </c>
      <c r="P32">
        <v>2.0000000000000001E-4</v>
      </c>
      <c r="Q32">
        <v>0</v>
      </c>
    </row>
    <row r="33" spans="15:17">
      <c r="O33" t="s">
        <v>84</v>
      </c>
      <c r="P33">
        <v>1E-4</v>
      </c>
      <c r="Q33">
        <v>2.0000000000000001E-4</v>
      </c>
    </row>
    <row r="34" spans="15:17">
      <c r="O34" t="s">
        <v>85</v>
      </c>
      <c r="P34">
        <v>1E-4</v>
      </c>
      <c r="Q34">
        <v>0</v>
      </c>
    </row>
    <row r="35" spans="15:17">
      <c r="O35" t="s">
        <v>86</v>
      </c>
      <c r="P35">
        <v>0</v>
      </c>
      <c r="Q35">
        <v>0</v>
      </c>
    </row>
    <row r="36" spans="15:17">
      <c r="O36" t="s">
        <v>87</v>
      </c>
      <c r="P36">
        <v>0</v>
      </c>
      <c r="Q36">
        <v>0</v>
      </c>
    </row>
  </sheetData>
  <mergeCells count="2">
    <mergeCell ref="A1:H1"/>
    <mergeCell ref="A2:H2"/>
  </mergeCells>
  <conditionalFormatting sqref="F5:G28">
    <cfRule type="colorScale" priority="1">
      <colorScale>
        <cfvo type="min"/>
        <cfvo type="percentile" val="50"/>
        <cfvo type="max"/>
        <color rgb="FFFCA5A5"/>
        <color rgb="FFFDE68A"/>
        <color rgb="FF86EFAC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zoomScale="60" zoomScaleNormal="60" workbookViewId="0">
      <selection sqref="A1:H1"/>
    </sheetView>
  </sheetViews>
  <sheetFormatPr defaultRowHeight="14"/>
  <sheetData>
    <row r="1" spans="1:11" ht="23">
      <c r="A1" s="10" t="s">
        <v>88</v>
      </c>
      <c r="B1" s="11"/>
      <c r="C1" s="11"/>
      <c r="D1" s="11"/>
      <c r="E1" s="11"/>
      <c r="F1" s="11"/>
      <c r="G1" s="11"/>
      <c r="H1" s="11"/>
    </row>
    <row r="2" spans="1:11" ht="14.5">
      <c r="A2" s="12" t="s">
        <v>89</v>
      </c>
      <c r="B2" s="11"/>
      <c r="C2" s="11"/>
      <c r="D2" s="11"/>
      <c r="E2" s="11"/>
      <c r="F2" s="11"/>
      <c r="G2" s="11"/>
      <c r="H2" s="11"/>
    </row>
    <row r="4" spans="1:11" ht="56">
      <c r="A4" s="1" t="s">
        <v>90</v>
      </c>
      <c r="B4" s="1" t="s">
        <v>25</v>
      </c>
      <c r="C4" s="1" t="s">
        <v>91</v>
      </c>
      <c r="D4" s="1" t="s">
        <v>92</v>
      </c>
      <c r="E4" s="1" t="s">
        <v>93</v>
      </c>
      <c r="F4" s="1" t="s">
        <v>94</v>
      </c>
      <c r="G4" s="1" t="s">
        <v>95</v>
      </c>
      <c r="J4" s="8" t="s">
        <v>90</v>
      </c>
      <c r="K4" s="8" t="s">
        <v>96</v>
      </c>
    </row>
    <row r="5" spans="1:11">
      <c r="A5" t="s">
        <v>3</v>
      </c>
      <c r="B5" t="s">
        <v>33</v>
      </c>
      <c r="C5">
        <v>667674</v>
      </c>
      <c r="D5" s="3">
        <v>0.22276108385478094</v>
      </c>
      <c r="E5">
        <v>44.84</v>
      </c>
      <c r="F5" s="3">
        <v>7.3306303949777676E-2</v>
      </c>
      <c r="G5">
        <v>667629.16</v>
      </c>
      <c r="J5" t="s">
        <v>32</v>
      </c>
      <c r="K5">
        <v>1999502.8800000001</v>
      </c>
    </row>
    <row r="6" spans="1:11">
      <c r="A6" t="s">
        <v>32</v>
      </c>
      <c r="B6" t="s">
        <v>33</v>
      </c>
      <c r="C6">
        <v>659498</v>
      </c>
      <c r="D6" s="3">
        <v>0.22003326365870218</v>
      </c>
      <c r="E6">
        <v>226.20999999999998</v>
      </c>
      <c r="F6" s="3">
        <v>0.36981755166099922</v>
      </c>
      <c r="G6">
        <v>659271.79</v>
      </c>
      <c r="J6" t="s">
        <v>3</v>
      </c>
      <c r="K6">
        <v>1882074.1099999999</v>
      </c>
    </row>
    <row r="7" spans="1:11">
      <c r="A7" t="s">
        <v>4</v>
      </c>
      <c r="B7" t="s">
        <v>33</v>
      </c>
      <c r="C7">
        <v>635836</v>
      </c>
      <c r="D7" s="3">
        <v>0.21213873314505058</v>
      </c>
      <c r="E7">
        <v>203.32</v>
      </c>
      <c r="F7" s="3">
        <v>0.33239602406487051</v>
      </c>
      <c r="G7">
        <v>635632.68000000005</v>
      </c>
      <c r="J7" t="s">
        <v>4</v>
      </c>
      <c r="K7">
        <v>1869231.8400000003</v>
      </c>
    </row>
    <row r="8" spans="1:11">
      <c r="A8" t="s">
        <v>5</v>
      </c>
      <c r="B8" t="s">
        <v>33</v>
      </c>
      <c r="C8">
        <v>544860</v>
      </c>
      <c r="D8" s="3">
        <v>0.181785727988683</v>
      </c>
      <c r="E8">
        <v>0</v>
      </c>
      <c r="F8" s="3">
        <v>0</v>
      </c>
      <c r="G8">
        <v>544860</v>
      </c>
      <c r="J8" t="s">
        <v>6</v>
      </c>
      <c r="K8">
        <v>1675566.2999999998</v>
      </c>
    </row>
    <row r="9" spans="1:11">
      <c r="A9" t="s">
        <v>6</v>
      </c>
      <c r="B9" t="s">
        <v>33</v>
      </c>
      <c r="C9">
        <v>489397</v>
      </c>
      <c r="D9" s="3">
        <v>0.16328119135278329</v>
      </c>
      <c r="E9">
        <v>137.31</v>
      </c>
      <c r="F9" s="3">
        <v>0.22448012032435263</v>
      </c>
      <c r="G9">
        <v>489259.69</v>
      </c>
      <c r="J9" t="s">
        <v>5</v>
      </c>
      <c r="K9">
        <v>1496307</v>
      </c>
    </row>
    <row r="10" spans="1:11">
      <c r="A10" t="s">
        <v>4</v>
      </c>
      <c r="B10" t="s">
        <v>42</v>
      </c>
      <c r="C10">
        <v>422813</v>
      </c>
      <c r="D10" s="3">
        <v>0.25449796883398612</v>
      </c>
      <c r="E10">
        <v>216.87</v>
      </c>
      <c r="F10" s="3">
        <v>0.32504496402877703</v>
      </c>
      <c r="G10">
        <v>422596.13</v>
      </c>
    </row>
    <row r="11" spans="1:11">
      <c r="A11" t="s">
        <v>32</v>
      </c>
      <c r="B11" t="s">
        <v>42</v>
      </c>
      <c r="C11">
        <v>388245</v>
      </c>
      <c r="D11" s="3">
        <v>0.23369093171201202</v>
      </c>
      <c r="E11">
        <v>264.46999999999997</v>
      </c>
      <c r="F11" s="3">
        <v>0.3963878896882494</v>
      </c>
      <c r="G11">
        <v>387980.53</v>
      </c>
    </row>
    <row r="12" spans="1:11">
      <c r="A12" t="s">
        <v>32</v>
      </c>
      <c r="B12" t="s">
        <v>45</v>
      </c>
      <c r="C12">
        <v>366111</v>
      </c>
      <c r="D12" s="3">
        <v>0.2182607389284143</v>
      </c>
      <c r="E12">
        <v>212.06</v>
      </c>
      <c r="F12" s="3">
        <v>0.33225225225225224</v>
      </c>
      <c r="G12">
        <v>365898.94</v>
      </c>
    </row>
    <row r="13" spans="1:11">
      <c r="A13" t="s">
        <v>4</v>
      </c>
      <c r="B13" t="s">
        <v>45</v>
      </c>
      <c r="C13">
        <v>362129</v>
      </c>
      <c r="D13" s="3">
        <v>0.21588682975220014</v>
      </c>
      <c r="E13">
        <v>210.61</v>
      </c>
      <c r="F13" s="3">
        <v>0.32998041519780652</v>
      </c>
      <c r="G13">
        <v>361918.39</v>
      </c>
    </row>
    <row r="14" spans="1:11">
      <c r="A14" t="s">
        <v>3</v>
      </c>
      <c r="B14" t="s">
        <v>45</v>
      </c>
      <c r="C14">
        <v>353652</v>
      </c>
      <c r="D14" s="3">
        <v>0.21083318131252973</v>
      </c>
      <c r="E14">
        <v>41.75</v>
      </c>
      <c r="F14" s="3">
        <v>6.5413239326282804E-2</v>
      </c>
      <c r="G14">
        <v>353610.25</v>
      </c>
    </row>
    <row r="15" spans="1:11">
      <c r="A15" t="s">
        <v>3</v>
      </c>
      <c r="B15" t="s">
        <v>42</v>
      </c>
      <c r="C15">
        <v>348132</v>
      </c>
      <c r="D15" s="3">
        <v>0.20954626959462755</v>
      </c>
      <c r="E15">
        <v>45.09</v>
      </c>
      <c r="F15" s="3">
        <v>6.7580935251798577E-2</v>
      </c>
      <c r="G15">
        <v>348086.91</v>
      </c>
    </row>
    <row r="16" spans="1:11">
      <c r="A16" t="s">
        <v>6</v>
      </c>
      <c r="B16" t="s">
        <v>45</v>
      </c>
      <c r="C16">
        <v>332895</v>
      </c>
      <c r="D16" s="3">
        <v>0.19845868789950172</v>
      </c>
      <c r="E16">
        <v>173.82999999999998</v>
      </c>
      <c r="F16" s="3">
        <v>0.27235409322365839</v>
      </c>
      <c r="G16">
        <v>332721.17</v>
      </c>
    </row>
    <row r="17" spans="1:7">
      <c r="A17" t="s">
        <v>32</v>
      </c>
      <c r="B17" t="s">
        <v>39</v>
      </c>
      <c r="C17">
        <v>305128</v>
      </c>
      <c r="D17" s="3">
        <v>0.24640062793689299</v>
      </c>
      <c r="E17">
        <v>189.98000000000002</v>
      </c>
      <c r="F17" s="3">
        <v>0.20689805386450019</v>
      </c>
      <c r="G17">
        <v>304938.02</v>
      </c>
    </row>
    <row r="18" spans="1:7">
      <c r="A18" t="s">
        <v>6</v>
      </c>
      <c r="B18" t="s">
        <v>42</v>
      </c>
      <c r="C18">
        <v>276787</v>
      </c>
      <c r="D18" s="3">
        <v>0.16660256259777376</v>
      </c>
      <c r="E18">
        <v>140.76999999999998</v>
      </c>
      <c r="F18" s="3">
        <v>0.21098621103117504</v>
      </c>
      <c r="G18">
        <v>276646.23</v>
      </c>
    </row>
    <row r="19" spans="1:7">
      <c r="A19" t="s">
        <v>3</v>
      </c>
      <c r="B19" t="s">
        <v>39</v>
      </c>
      <c r="C19">
        <v>275576</v>
      </c>
      <c r="D19" s="3">
        <v>0.22253644190089805</v>
      </c>
      <c r="E19">
        <v>50.34</v>
      </c>
      <c r="F19" s="3">
        <v>5.482286573080819E-2</v>
      </c>
      <c r="G19">
        <v>275525.65999999997</v>
      </c>
    </row>
    <row r="20" spans="1:7">
      <c r="A20" t="s">
        <v>5</v>
      </c>
      <c r="B20" t="s">
        <v>45</v>
      </c>
      <c r="C20">
        <v>262615</v>
      </c>
      <c r="D20" s="3">
        <v>0.15656056210735411</v>
      </c>
      <c r="E20">
        <v>0</v>
      </c>
      <c r="F20" s="3">
        <v>0</v>
      </c>
      <c r="G20">
        <v>262615</v>
      </c>
    </row>
    <row r="21" spans="1:7">
      <c r="A21" t="s">
        <v>6</v>
      </c>
      <c r="B21" t="s">
        <v>39</v>
      </c>
      <c r="C21">
        <v>246569</v>
      </c>
      <c r="D21" s="3">
        <v>0.19911236081176348</v>
      </c>
      <c r="E21">
        <v>449.58</v>
      </c>
      <c r="F21" s="3">
        <v>0.48961589144332029</v>
      </c>
      <c r="G21">
        <v>246119.42</v>
      </c>
    </row>
    <row r="22" spans="1:7">
      <c r="A22" t="s">
        <v>5</v>
      </c>
      <c r="B22" t="s">
        <v>42</v>
      </c>
      <c r="C22">
        <v>225384</v>
      </c>
      <c r="D22" s="3">
        <v>0.13566226726160058</v>
      </c>
      <c r="E22">
        <v>0</v>
      </c>
      <c r="F22" s="3">
        <v>0</v>
      </c>
      <c r="G22">
        <v>225384</v>
      </c>
    </row>
    <row r="23" spans="1:7">
      <c r="A23" t="s">
        <v>4</v>
      </c>
      <c r="B23" t="s">
        <v>39</v>
      </c>
      <c r="C23">
        <v>215960</v>
      </c>
      <c r="D23" s="3">
        <v>0.17439461343846324</v>
      </c>
      <c r="E23">
        <v>228.32999999999998</v>
      </c>
      <c r="F23" s="3">
        <v>0.24866318896137132</v>
      </c>
      <c r="G23">
        <v>215731.67</v>
      </c>
    </row>
    <row r="24" spans="1:7">
      <c r="A24" t="s">
        <v>3</v>
      </c>
      <c r="B24" t="s">
        <v>40</v>
      </c>
      <c r="C24">
        <v>205100</v>
      </c>
      <c r="D24" s="3">
        <v>0.26269343381688054</v>
      </c>
      <c r="E24">
        <v>38.21</v>
      </c>
      <c r="F24" s="3">
        <v>6.5405682985279004E-2</v>
      </c>
      <c r="G24">
        <v>205061.79</v>
      </c>
    </row>
    <row r="25" spans="1:7">
      <c r="A25" t="s">
        <v>5</v>
      </c>
      <c r="B25" t="s">
        <v>39</v>
      </c>
      <c r="C25">
        <v>195108</v>
      </c>
      <c r="D25" s="3">
        <v>0.15755595591198224</v>
      </c>
      <c r="E25">
        <v>0</v>
      </c>
      <c r="F25" s="3">
        <v>0</v>
      </c>
      <c r="G25">
        <v>195108</v>
      </c>
    </row>
    <row r="26" spans="1:7">
      <c r="A26" t="s">
        <v>6</v>
      </c>
      <c r="B26" t="s">
        <v>40</v>
      </c>
      <c r="C26">
        <v>181608</v>
      </c>
      <c r="D26" s="3">
        <v>0.23260472515171154</v>
      </c>
      <c r="E26">
        <v>178.35999999999999</v>
      </c>
      <c r="F26" s="3">
        <v>0.30530640191715164</v>
      </c>
      <c r="G26">
        <v>181429.64</v>
      </c>
    </row>
    <row r="27" spans="1:7">
      <c r="A27" t="s">
        <v>4</v>
      </c>
      <c r="B27" t="s">
        <v>40</v>
      </c>
      <c r="C27">
        <v>159264</v>
      </c>
      <c r="D27" s="3">
        <v>0.20398638246422066</v>
      </c>
      <c r="E27">
        <v>166.82</v>
      </c>
      <c r="F27" s="3">
        <v>0.28555289284491608</v>
      </c>
      <c r="G27">
        <v>159097.18</v>
      </c>
    </row>
    <row r="28" spans="1:7">
      <c r="A28" t="s">
        <v>32</v>
      </c>
      <c r="B28" t="s">
        <v>31</v>
      </c>
      <c r="C28">
        <v>158032</v>
      </c>
      <c r="D28" s="3">
        <v>0.27657466879014331</v>
      </c>
      <c r="E28">
        <v>167.59</v>
      </c>
      <c r="F28" s="3">
        <v>0.40352989333269124</v>
      </c>
      <c r="G28">
        <v>157864.41</v>
      </c>
    </row>
    <row r="29" spans="1:7">
      <c r="A29" t="s">
        <v>5</v>
      </c>
      <c r="B29" t="s">
        <v>31</v>
      </c>
      <c r="C29">
        <v>157304</v>
      </c>
      <c r="D29" s="3">
        <v>0.27530058278933828</v>
      </c>
      <c r="E29">
        <v>0</v>
      </c>
      <c r="F29" s="3">
        <v>0</v>
      </c>
      <c r="G29">
        <v>157304</v>
      </c>
    </row>
    <row r="30" spans="1:7">
      <c r="A30" t="s">
        <v>6</v>
      </c>
      <c r="B30" t="s">
        <v>31</v>
      </c>
      <c r="C30">
        <v>149464</v>
      </c>
      <c r="D30" s="3">
        <v>0.26157965662682231</v>
      </c>
      <c r="E30">
        <v>73.849999999999994</v>
      </c>
      <c r="F30" s="3">
        <v>0.17781897859430304</v>
      </c>
      <c r="G30">
        <v>149390.15</v>
      </c>
    </row>
    <row r="31" spans="1:7">
      <c r="A31" t="s">
        <v>32</v>
      </c>
      <c r="B31" t="s">
        <v>40</v>
      </c>
      <c r="C31">
        <v>123750</v>
      </c>
      <c r="D31" s="3">
        <v>0.15849981684465608</v>
      </c>
      <c r="E31">
        <v>200.81</v>
      </c>
      <c r="F31" s="3">
        <v>0.34373502225265318</v>
      </c>
      <c r="G31">
        <v>123549.19</v>
      </c>
    </row>
    <row r="32" spans="1:7">
      <c r="A32" t="s">
        <v>5</v>
      </c>
      <c r="B32" t="s">
        <v>40</v>
      </c>
      <c r="C32">
        <v>111036</v>
      </c>
      <c r="D32" s="3">
        <v>0.14221564172253118</v>
      </c>
      <c r="E32">
        <v>0</v>
      </c>
      <c r="F32" s="3">
        <v>0</v>
      </c>
      <c r="G32">
        <v>111036</v>
      </c>
    </row>
    <row r="33" spans="1:7">
      <c r="A33" t="s">
        <v>4</v>
      </c>
      <c r="B33" t="s">
        <v>31</v>
      </c>
      <c r="C33">
        <v>74415</v>
      </c>
      <c r="D33" s="3">
        <v>0.13023504086525842</v>
      </c>
      <c r="E33">
        <v>159.21</v>
      </c>
      <c r="F33" s="3">
        <v>0.38335219474609328</v>
      </c>
      <c r="G33">
        <v>74255.789999999994</v>
      </c>
    </row>
    <row r="34" spans="1:7">
      <c r="A34" t="s">
        <v>3</v>
      </c>
      <c r="B34" t="s">
        <v>31</v>
      </c>
      <c r="C34">
        <v>32175</v>
      </c>
      <c r="D34" s="3">
        <v>5.6310050928437667E-2</v>
      </c>
      <c r="E34">
        <v>14.66</v>
      </c>
      <c r="F34" s="3">
        <v>3.5298933326912425E-2</v>
      </c>
      <c r="G34">
        <v>32160.34</v>
      </c>
    </row>
  </sheetData>
  <mergeCells count="2">
    <mergeCell ref="A1:H1"/>
    <mergeCell ref="A2:H2"/>
  </mergeCells>
  <conditionalFormatting sqref="G5:G34">
    <cfRule type="dataBar" priority="1">
      <dataBar>
        <cfvo type="min"/>
        <cfvo type="max"/>
        <color rgb="FF2563EB"/>
      </dataBar>
    </cfRule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{B65BA043-5231-8770-A688-F3DEE49ABE76}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BA043-5231-8770-A688-F3DEE49ABE76}">
            <x14:dataBar>
              <x14:cfvo type="min"/>
              <x14:cfvo type="max"/>
              <x14:negativeFillColor auto="1"/>
              <x14:axisColor auto="1"/>
            </x14:dataBar>
          </x14:cfRule>
          <xm:sqref>G5:G34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selection sqref="A1:H1"/>
    </sheetView>
  </sheetViews>
  <sheetFormatPr defaultRowHeight="14"/>
  <sheetData>
    <row r="1" spans="1:8" ht="23">
      <c r="A1" s="10" t="s">
        <v>97</v>
      </c>
      <c r="B1" s="11"/>
      <c r="C1" s="11"/>
      <c r="D1" s="11"/>
      <c r="E1" s="11"/>
      <c r="F1" s="11"/>
      <c r="G1" s="11"/>
      <c r="H1" s="11"/>
    </row>
    <row r="2" spans="1:8" ht="14.5">
      <c r="A2" s="12" t="s">
        <v>98</v>
      </c>
      <c r="B2" s="11"/>
      <c r="C2" s="11"/>
      <c r="D2" s="11"/>
      <c r="E2" s="11"/>
      <c r="F2" s="11"/>
      <c r="G2" s="11"/>
      <c r="H2" s="11"/>
    </row>
    <row r="4" spans="1:8" ht="28">
      <c r="A4" s="1" t="s">
        <v>99</v>
      </c>
      <c r="B4" s="1" t="s">
        <v>100</v>
      </c>
      <c r="C4" s="1" t="s">
        <v>101</v>
      </c>
    </row>
    <row r="5" spans="1:8" ht="42">
      <c r="A5" s="6" t="s">
        <v>102</v>
      </c>
      <c r="B5" s="6" t="s">
        <v>103</v>
      </c>
      <c r="C5" s="6" t="s">
        <v>104</v>
      </c>
    </row>
    <row r="6" spans="1:8" ht="56">
      <c r="A6" s="6" t="s">
        <v>105</v>
      </c>
      <c r="B6" s="6" t="s">
        <v>106</v>
      </c>
      <c r="C6" s="6" t="s">
        <v>107</v>
      </c>
    </row>
    <row r="7" spans="1:8" ht="42">
      <c r="A7" s="6" t="s">
        <v>19</v>
      </c>
      <c r="B7" s="6" t="s">
        <v>108</v>
      </c>
      <c r="C7" s="6" t="s">
        <v>109</v>
      </c>
    </row>
    <row r="8" spans="1:8" ht="56">
      <c r="A8" s="6" t="s">
        <v>110</v>
      </c>
      <c r="B8" s="6" t="s">
        <v>111</v>
      </c>
      <c r="C8" s="6" t="s">
        <v>112</v>
      </c>
    </row>
    <row r="9" spans="1:8" ht="56">
      <c r="A9" s="6" t="s">
        <v>113</v>
      </c>
      <c r="B9" s="6" t="s">
        <v>114</v>
      </c>
      <c r="C9" s="6" t="s">
        <v>115</v>
      </c>
    </row>
    <row r="10" spans="1:8" ht="84">
      <c r="A10" s="6" t="s">
        <v>23</v>
      </c>
      <c r="B10" s="6" t="s">
        <v>116</v>
      </c>
      <c r="C10" s="6" t="s">
        <v>117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topLeftCell="A10" workbookViewId="0">
      <selection sqref="A1:H1"/>
    </sheetView>
  </sheetViews>
  <sheetFormatPr defaultRowHeight="14"/>
  <cols>
    <col min="1" max="2" width="34" customWidth="1"/>
  </cols>
  <sheetData>
    <row r="1" spans="1:8" ht="23">
      <c r="A1" s="10" t="s">
        <v>118</v>
      </c>
      <c r="B1" s="11"/>
      <c r="C1" s="11"/>
      <c r="D1" s="11"/>
      <c r="E1" s="11"/>
      <c r="F1" s="11"/>
      <c r="G1" s="11"/>
      <c r="H1" s="11"/>
    </row>
    <row r="2" spans="1:8" ht="14.5">
      <c r="A2" s="12" t="s">
        <v>119</v>
      </c>
      <c r="B2" s="11"/>
      <c r="C2" s="11"/>
      <c r="D2" s="11"/>
      <c r="E2" s="11"/>
      <c r="F2" s="11"/>
      <c r="G2" s="11"/>
      <c r="H2" s="11"/>
    </row>
    <row r="4" spans="1:8">
      <c r="A4" s="1" t="s">
        <v>120</v>
      </c>
      <c r="B4" s="1" t="s">
        <v>121</v>
      </c>
    </row>
    <row r="5" spans="1:8" ht="42">
      <c r="A5" s="9" t="s">
        <v>122</v>
      </c>
      <c r="B5" s="6" t="s">
        <v>123</v>
      </c>
    </row>
    <row r="6" spans="1:8" ht="42">
      <c r="A6" s="9" t="s">
        <v>124</v>
      </c>
      <c r="B6" s="6" t="s">
        <v>125</v>
      </c>
    </row>
    <row r="7" spans="1:8" ht="42">
      <c r="A7" s="9" t="s">
        <v>126</v>
      </c>
      <c r="B7" s="6" t="s">
        <v>127</v>
      </c>
    </row>
    <row r="8" spans="1:8" ht="42">
      <c r="A8" s="9" t="s">
        <v>128</v>
      </c>
      <c r="B8" s="6" t="s">
        <v>129</v>
      </c>
    </row>
    <row r="9" spans="1:8" ht="42">
      <c r="A9" s="9" t="s">
        <v>130</v>
      </c>
      <c r="B9" s="6" t="s">
        <v>131</v>
      </c>
    </row>
    <row r="10" spans="1:8" ht="42">
      <c r="A10" s="9" t="s">
        <v>132</v>
      </c>
      <c r="B10" s="6" t="s">
        <v>133</v>
      </c>
    </row>
    <row r="11" spans="1:8" ht="42">
      <c r="A11" s="9" t="s">
        <v>134</v>
      </c>
      <c r="B11" s="6" t="s">
        <v>135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Benchmark</vt:lpstr>
      <vt:lpstr>Forecasts</vt:lpstr>
      <vt:lpstr>Placement</vt:lpstr>
      <vt:lpstr>Inventory</vt:lpstr>
      <vt:lpstr>KPI Glossary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Dako</cp:lastModifiedBy>
  <dcterms:modified xsi:type="dcterms:W3CDTF">2026-04-22T14:34:18Z</dcterms:modified>
</cp:coreProperties>
</file>